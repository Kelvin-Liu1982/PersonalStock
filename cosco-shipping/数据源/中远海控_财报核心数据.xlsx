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worksheets/sheet6.xml" ContentType="application/vnd.openxmlformats-officedocument.spreadsheetml.worksheet+xml"/>
  <Override PartName="/xl/worksheets/sheet3.xml" ContentType="application/vnd.openxmlformats-officedocument.spreadsheetml.worksheet+xml"/>
  <Override PartName="/docProps/core.xml" ContentType="application/vnd.openxmlformats-package.core-properties+xml"/>
  <Override PartName="/xl/worksheets/sheet5.xml" ContentType="application/vnd.openxmlformats-officedocument.spreadsheetml.worksheet+xml"/>
  <Override PartName="/xl/workbook.xml" ContentType="application/vnd.openxmlformats-officedocument.spreadsheetml.sheet.main+xml"/>
  <Override PartName="/xl/worksheets/sheet2.xml" ContentType="application/vnd.openxmlformats-officedocument.spreadsheetml.worksheet+xml"/>
  <Override PartName="/xl/worksheets/sheet4.xml" ContentType="application/vnd.openxmlformats-officedocument.spreadsheetml.worksheet+xml"/>
  <Override PartName="/docProps/app.xml" ContentType="application/vnd.openxmlformats-officedocument.extended-propertie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1" Type="http://schemas.openxmlformats.org/package/2006/relationships/metadata/core-properties" Target="docProps/core.xml" /><Relationship Id="rId0" Type="http://schemas.openxmlformats.org/officeDocument/2006/relationships/officeDocument" Target="xl/workbook.xml" /></Relationships>
</file>

<file path=xl/workbook.xml><?xml version="1.0" encoding="utf-8"?>
<workbook xmlns:r="http://schemas.openxmlformats.org/officeDocument/2006/relationships" xmlns="http://schemas.openxmlformats.org/spreadsheetml/2006/main">
  <workbookPr/>
  <workbookProtection/>
  <bookViews>
    <workbookView activeTab="0"/>
  </bookViews>
  <sheets>
    <sheet name="年度核心数据" sheetId="1" r:id="rId3"/>
    <sheet name="季度核心数据" sheetId="2" r:id="rId4"/>
    <sheet name="分红数据" sheetId="3" r:id="rId5"/>
    <sheet name="成本结构(集装箱航运业务)" sheetId="4" r:id="rId6"/>
    <sheet name="港口码头业务" sheetId="5" r:id="rId7"/>
    <sheet name="数据说明与来源" sheetId="6" r:id="rId8"/>
  </sheets>
  <calcPr calcId="124519" fullCalcOnLoad="1"/>
</workbook>
</file>

<file path=xl/sharedStrings.xml><?xml version="1.0" encoding="utf-8"?>
<sst xmlns="http://schemas.openxmlformats.org/spreadsheetml/2006/main" count="143" uniqueCount="143">
  <si>
    <t/>
  </si>
  <si>
    <t>营业收入(亿元)</t>
  </si>
  <si>
    <t>营收同比(%)</t>
  </si>
  <si>
    <t>归母净利润(亿元)</t>
  </si>
  <si>
    <t>归母同比(%)</t>
  </si>
  <si>
    <t>扣非净利润(亿元)</t>
  </si>
  <si>
    <t>毛利率(%)</t>
  </si>
  <si>
    <t>净利率(%)</t>
  </si>
  <si>
    <t>2026Q2</t>
  </si>
  <si>
    <t>中报10派5.6元 + 年报10派4.4元</t>
  </si>
  <si>
    <t>燃油费估算(亿元)</t>
  </si>
  <si>
    <t>租船费估算(亿元)</t>
  </si>
  <si>
    <t>航次成本(含燃油,亿元)</t>
  </si>
  <si>
    <t>设备及货物运输成本 + 航次成本 + 船舶成本 + 集装箱成本 + 其他业务成本 = 集装箱航运业务成本</t>
  </si>
  <si>
    <t>航程成本(含燃油,亿元)</t>
  </si>
  <si>
    <r>
      <t>报告期</t>
    </r>
  </si>
  <si>
    <r>
      <t>营业收入(亿元)</t>
    </r>
  </si>
  <si>
    <r>
      <t>营收同比(%)</t>
    </r>
  </si>
  <si>
    <r>
      <t>归母净利润(亿元)</t>
    </r>
  </si>
  <si>
    <r>
      <t>归母同比(%)</t>
    </r>
  </si>
  <si>
    <r>
      <t>扣非净利润(亿元)</t>
    </r>
  </si>
  <si>
    <r>
      <t>毛利率(%)</t>
    </r>
  </si>
  <si>
    <r>
      <t>净利率(%)</t>
    </r>
  </si>
  <si>
    <r>
      <t>经营现金流(亿元)</t>
    </r>
  </si>
  <si>
    <r>
      <t>资产负债率(%)</t>
    </r>
  </si>
  <si>
    <r>
      <t>ROE摊薄(%)</t>
    </r>
  </si>
  <si>
    <r>
      <t>基本EPS(元)</t>
    </r>
  </si>
  <si>
    <r>
      <t>2021年</t>
    </r>
  </si>
  <si>
    <r>
      <t>2022年</t>
    </r>
  </si>
  <si>
    <r>
      <t>2023年</t>
    </r>
  </si>
  <si>
    <r>
      <t>2024年</t>
    </r>
  </si>
  <si>
    <r>
      <t>2025年</t>
    </r>
  </si>
  <si>
    <r>
      <t>营收累计(亿元)</t>
    </r>
  </si>
  <si>
    <r>
      <t>归母累计(亿元)</t>
    </r>
  </si>
  <si>
    <r>
      <t>2021Q1</t>
    </r>
  </si>
  <si>
    <r>
      <t>2021Q2</t>
    </r>
  </si>
  <si>
    <r>
      <t>2021Q3</t>
    </r>
  </si>
  <si>
    <r>
      <t>2021Q4</t>
    </r>
  </si>
  <si>
    <r>
      <t>2022Q1</t>
    </r>
  </si>
  <si>
    <r>
      <t>2022Q2</t>
    </r>
  </si>
  <si>
    <r>
      <t>2022Q3</t>
    </r>
  </si>
  <si>
    <r>
      <t>2022Q4</t>
    </r>
  </si>
  <si>
    <r>
      <t>2023Q1</t>
    </r>
  </si>
  <si>
    <r>
      <t>2023Q2</t>
    </r>
  </si>
  <si>
    <r>
      <t>2023Q3</t>
    </r>
  </si>
  <si>
    <r>
      <t>2023Q4</t>
    </r>
  </si>
  <si>
    <r>
      <t>2024Q1</t>
    </r>
  </si>
  <si>
    <r>
      <t>2024Q2</t>
    </r>
  </si>
  <si>
    <r>
      <t>2024Q3</t>
    </r>
  </si>
  <si>
    <r>
      <t>2024Q4</t>
    </r>
  </si>
  <si>
    <r>
      <t>2025Q1</t>
    </r>
  </si>
  <si>
    <r>
      <t>2025Q2</t>
    </r>
  </si>
  <si>
    <r>
      <t>2025Q3</t>
    </r>
  </si>
  <si>
    <r>
      <t>2025Q4</t>
    </r>
  </si>
  <si>
    <r>
      <t>2026Q1</t>
    </r>
  </si>
  <si>
    <r>
      <t>年报每股分红(元)</t>
    </r>
  </si>
  <si>
    <r>
      <t>中报每股分红(元)</t>
    </r>
  </si>
  <si>
    <r>
      <t>全年每股分红(元)</t>
    </r>
  </si>
  <si>
    <r>
      <t>全年现金分红总额(亿元,A+H)</t>
    </r>
  </si>
  <si>
    <r>
      <t>分红比例(%)</t>
    </r>
  </si>
  <si>
    <r>
      <t>备注</t>
    </r>
  </si>
  <si>
    <r>
      <t>年报10派8.7元；中报不分配（仅10转3股，不派现）</t>
    </r>
  </si>
  <si>
    <r>
      <t>年报10派13.9元 + 中报10派20.1元</t>
    </r>
  </si>
  <si>
    <r>
      <t>年报10派2.3元 + 中报10派5.1元</t>
    </r>
  </si>
  <si>
    <r>
      <t>年报10派10.3元 + 中报10派5.2元</t>
    </r>
  </si>
  <si>
    <r>
      <t>中期分红每股0.43元（含税，占H1归母49%）；全年分红待2026年报</t>
    </r>
  </si>
  <si>
    <r>
      <t>集装箱航运业务成本(亿元)</t>
    </r>
  </si>
  <si>
    <r>
      <t>设备及货物运输成本(亿元)</t>
    </r>
  </si>
  <si>
    <r>
      <t>航程成本(含燃油,亿元)</t>
    </r>
  </si>
  <si>
    <r>
      <t>船舶成本(含租船,亿元)</t>
    </r>
  </si>
  <si>
    <r>
      <t>其他业务成本(亿元)</t>
    </r>
  </si>
  <si>
    <r>
      <t>航线单箱成本(美元/TEU)</t>
    </r>
  </si>
  <si>
    <r>
      <t>货运量(万TEU)</t>
    </r>
  </si>
  <si>
    <r>
      <t>数据口径</t>
    </r>
  </si>
  <si>
    <r>
      <t>年报成本分析表(RMB,经审计)</t>
    </r>
  </si>
  <si>
    <r>
      <t>航线成本百万美元折算(×7.1),其他未单列</t>
    </r>
  </si>
  <si>
    <r>
      <t>年报MD&amp;A(RMB)</t>
    </r>
  </si>
  <si>
    <r>
      <t>码头业务收入(亿元)</t>
    </r>
  </si>
  <si>
    <r>
      <t>码头业务成本(亿元)</t>
    </r>
  </si>
  <si>
    <r>
      <t>码头业务毛利率(%)</t>
    </r>
  </si>
  <si>
    <r>
      <t>码头业务毛利(亿元)</t>
    </r>
  </si>
  <si>
    <r>
      <t>码头总吞吐量(万TEU)</t>
    </r>
  </si>
  <si>
    <r>
      <t>营收占比(%)</t>
    </r>
  </si>
  <si>
    <r>
      <t>年报分行业表(营收/成本/毛利率, RMB)</t>
    </r>
  </si>
  <si>
    <r>
      <t>年报分行业表; 成本按毛利率倒算</t>
    </r>
  </si>
  <si>
    <r>
      <t>中远海控(601919.SH / 01919.HK) 核心财务数据汇总</t>
    </r>
  </si>
  <si>
    <r>
      <t>时间范围</t>
    </r>
  </si>
  <si>
    <r>
      <t>年度: 2021-2025 年报; 季度: 2021Q1 - 2026Q2 中报（累计口径，单季为 H1−Q1 推算）</t>
    </r>
  </si>
  <si>
    <r>
      <t>单位说明</t>
    </r>
  </si>
  <si>
    <r>
      <t>营收/利润类单位为亿元人民币; 比率类为%; EPS为元/股</t>
    </r>
  </si>
  <si>
    <r>
      <t>★ 累计 vs 单季（关键口径）</t>
    </r>
  </si>
  <si>
    <r>
      <t>季报原始披露为【累计值】</t>
    </r>
  </si>
  <si>
    <r>
      <t>Q1=Q1; Q2=Q1+Q2; Q3=Q1+Q2+Q3; Q4=全年</t>
    </r>
  </si>
  <si>
    <r>
      <t>单季(当季)还原公式</t>
    </r>
  </si>
  <si>
    <r>
      <t>当季_n = 本季累计_n − 上季累计_n（同一年内相邻报告期作差）；Q1当季=Q1累计</t>
    </r>
  </si>
  <si>
    <r>
      <t>单季同比</t>
    </r>
  </si>
  <si>
    <r>
      <t>当季_n(本年) / 当季_n(上年) − 1</t>
    </r>
  </si>
  <si>
    <r>
      <t>用途</t>
    </r>
  </si>
  <si>
    <r>
      <t>横向对比各季真实经营表现，避免'累计越往后越大'的误导。年度表与图表均使用单季口径。</t>
    </r>
  </si>
  <si>
    <r>
      <t>数据来源</t>
    </r>
  </si>
  <si>
    <r>
      <t>1. 营收/归母/扣非/营业成本/同比</t>
    </r>
  </si>
  <si>
    <r>
      <t>东方财富 业绩报表 API (RPT_DMSK_FN_INCOME), 实时抽取, 同比按同报告期上一年自算</t>
    </r>
  </si>
  <si>
    <r>
      <t>2. 年度 EPS/资产负债率/ROE/经营现金流</t>
    </r>
  </si>
  <si>
    <r>
      <t>东方财富 A股财务指标表 (网络检索交叉确认, 与年报披露一致)</t>
    </r>
  </si>
  <si>
    <r>
      <t>3. 2026Q1 一季报附加指标</t>
    </r>
  </si>
  <si>
    <r>
      <t>2026 年第一季度报告 (上交所/港交所公告, 网络检索)</t>
    </r>
  </si>
  <si>
    <r>
      <t>4. 分红数据(2021-2025)</t>
    </r>
  </si>
  <si>
    <r>
      <t>公司分红派息公告 + Eastmoney/新浪/理杏仁披露, A+H 全体股东现金分红; 2021 中报仅转增股本不派现, 故当年分红比例仅 15.6%</t>
    </r>
  </si>
  <si>
    <r>
      <t>计算口径</t>
    </r>
  </si>
  <si>
    <r>
      <t>毛利率</t>
    </r>
  </si>
  <si>
    <r>
      <t>(营业收入 − 营业成本) / 营业收入 × 100%</t>
    </r>
  </si>
  <si>
    <r>
      <t>净利率</t>
    </r>
  </si>
  <si>
    <r>
      <t>归母净利润 / 营业收入 × 100% (归母口径)</t>
    </r>
  </si>
  <si>
    <r>
      <t>同比(YoY)</t>
    </r>
  </si>
  <si>
    <r>
      <t>当期值 / 同报告期上一年值 − 1; 2021 及 2021Q1 无去年同期, 留空</t>
    </r>
  </si>
  <si>
    <r>
      <t>成本结构数据（新增工作表）</t>
    </r>
  </si>
  <si>
    <r>
      <t>来源</t>
    </r>
  </si>
  <si>
    <r>
      <t>中远海控 2021-2025 年报「成本分析」表 / 管理层讨论「集装箱航运业务成本」分项 / 年度业绩发布会「航线成本」百万美元数据; 单箱成本与货运量来自年报及业绩发布会已披露值</t>
    </r>
  </si>
  <si>
    <r>
      <t>航线成本分项</t>
    </r>
  </si>
  <si>
    <r>
      <t>设备及货物运输成本 / 航程成本(含燃油) / 船舶成本(含租船、折旧、船员等) / 其他业务成本; 2023/2024 发布会口径仅披露前三项(百万美元), 按汇率≈7.1 折算 RMB, '其他'未单列</t>
    </r>
  </si>
  <si>
    <r>
      <t>燃油费估算（2025）</t>
    </r>
  </si>
  <si>
    <r>
      <t>年报未单列'燃油费'明细行, 燃油成本隐含于『航程成本』中。现按『航程成本×约70%』估算 2025 年燃油费≈260.6 亿元（占航程成本约70%, 为第三方/推算估算值, 非公司披露口径）; 其余年份可类比更新。业绩发布会另披露『耗油单价(美元/吨)』季度值(如 2021 各季 405/466/504/561 美元/吨)</t>
    </r>
  </si>
  <si>
    <r>
      <t>租船费估算（2025）</t>
    </r>
  </si>
  <si>
    <r>
      <t>年报未单列'租船费/船舶租金'明细行, 租船租金隐含于『船舶成本』(含船舶折旧、租船费、船员薪酬等)。现按『船舶成本×约30%』估算 2025 年租船费≈107.9 亿元（占船舶成本约20%–35%, 为推算估算值, 非公司披露口径）; 其余年份可类比更新。</t>
    </r>
  </si>
  <si>
    <r>
      <t>单箱成本</t>
    </r>
  </si>
  <si>
    <r>
      <t>年报/业绩发布会已披露『航线单箱成本』(美元/TEU): 2021≈1000、2022≈1205、2023≈786、2024≈863、2025≈866(由 RMB/TEU 折算)</t>
    </r>
  </si>
  <si>
    <r>
      <t>货运量</t>
    </r>
  </si>
  <si>
    <r>
      <t>2021=2691.2、2023=2355.37、2024=2516.48 万TEU 为官方值; 2022≈2571、2025≈2650 万TEU 为合并口径估算, 仅供参考</t>
    </r>
  </si>
  <si>
    <r>
      <t>港口码头业务数据（新增工作表）</t>
    </r>
  </si>
  <si>
    <r>
      <t>中远海控 2021-2025 年报「主营业务分行业/分产品」表(集装箱航运业务 vs 码头业务) / 年度业绩发布会 / 2025 年报新闻稿; 总吞吐量来自年报业务概览与业绩发布会披露的集团所属中远海运港口总吞吐量</t>
    </r>
  </si>
  <si>
    <r>
      <t>口径</t>
    </r>
  </si>
  <si>
    <r>
      <t>营业收入/成本/毛利为亿元人民币(RMB, 不含分部间抵销); 毛利率=(收入−成本)/收入; 营收占比=码头业务收入÷合并营业收入</t>
    </r>
  </si>
  <si>
    <r>
      <t>成本列</t>
    </r>
  </si>
  <si>
    <r>
      <t>2021(56.29)、2023(71.83)、2024(77.09) 为年报直接披露; 2022、2025 年报未单列成本列, 成本=收入×(1−毛利率) 倒算(毛利率: 2022=31.65%、2025=25.91%)</t>
    </r>
  </si>
  <si>
    <r>
      <t>吞吐量</t>
    </r>
  </si>
  <si>
    <r>
      <t>集团所属中远海运港口总吞吐量(万标准箱): 2021=12928.64、2022≈13000、2023≈13600、2024=14403.27、2025≈15299.5; 2022/2023 为约数</t>
    </r>
  </si>
  <si>
    <r>
      <t>泊位利用率/海外布局</t>
    </r>
  </si>
  <si>
    <r>
      <t>用户确认暂不细化——码头业务占合并营收仅约 2%–6%, 占比小, 不值得过细数据; 如需补充可后续单独取中远海运港口(1199.HK)公告</t>
    </r>
  </si>
  <si>
    <r>
      <t>重要提示</t>
    </r>
  </si>
  <si>
    <r>
      <t>2026Q1 列示一季报值、2026Q2 列示中报值（单季财务/箱量=H1−Q1 推算，非公司单季披露）；其余季度留空。</t>
    </r>
  </si>
  <si>
    <r>
      <t>- 净利率按归母净利润口径; 部分第三方'销售净利率'(含少数股东损益)略不同(如2025年报16.04% vs 本表归母口径14.06%), 属正常口径差异。</t>
    </r>
  </si>
  <si>
    <r>
      <t>- 财务 MCP 连接器(通达信/东方财富妙想/Wind)本次均断开, 数据经公开接口与公告检索获取, 仅供参考, 不构成投资建议。</t>
    </r>
  </si>
  <si>
    <r>
      <t>- 请以公司正式年报/季报披露为准。</t>
    </r>
  </si>
</sst>
</file>

<file path=xl/styles.xml><?xml version="1.0" encoding="utf-8"?>
<styleSheet xmlns="http://schemas.openxmlformats.org/spreadsheetml/2006/main">
  <numFmts count="2">
    <numFmt numFmtId="300" formatCode="0.00_ "/>
    <numFmt numFmtId="301" formatCode="General"/>
  </numFmts>
  <fonts count="8">
    <font>
      <name val="Calibri"/>
      <family val="2"/>
      <color theme="1"/>
      <sz val="11"/>
      <scheme val="minor"/>
    </font>
    <font>
      <name val="等线"/>
      <charset val="134"/>
      <color rgb="FF175CEB"/>
      <sz val="10"/>
      <u/>
      <scheme val="minor"/>
    </font>
    <font>
      <name val="Segoe UI Symbol"/>
      <family val="2"/>
      <color rgb="FF000000"/>
      <sz val="10"/>
    </font>
    <font>
      <b val="1"/>
      <color rgb="FFFFFFFF"/>
      <sz val="11"/>
    </font>
    <font>
      <b val="1"/>
    </font>
    <font>
      <b val="1"/>
      <color rgb="FF1F2733"/>
      <sz val="13"/>
    </font>
    <font>
      <name val="Calibri"/>
    </font>
    <font>
      <name val="Calibri"/>
      <family val="2"/>
      <color theme="1"/>
      <sz val="11"/>
      <scheme val="minor"/>
    </font>
  </fonts>
  <fills count="4">
    <fill>
      <patternFill/>
    </fill>
    <fill>
      <patternFill patternType="gray125"/>
    </fill>
    <fill>
      <patternFill patternType="solid">
        <fgColor rgb="FF1F2733"/>
      </patternFill>
    </fill>
    <fill>
      <patternFill/>
    </fill>
  </fills>
  <borders count="3">
    <border>
      <left/>
      <right/>
      <top/>
      <bottom/>
      <diagonal/>
    </border>
    <border>
      <left style="thin">
        <color rgb="FFD5DCE4"/>
      </left>
      <right style="thin">
        <color rgb="FFD5DCE4"/>
      </right>
      <top style="thin">
        <color rgb="FFD5DCE4"/>
      </top>
      <bottom style="thin">
        <color rgb="FFD5DCE4"/>
      </bottom>
    </border>
    <border>
      <left/>
      <right/>
      <top/>
      <bottom/>
      <diagonal/>
    </border>
  </borders>
  <cellStyleXfs>
    <xf numFmtId="301" fontId="7" fillId="3" borderId="2" xfId="0"/>
  </cellStyleXfs>
  <cellXfs count="19">
    <xf numFmtId="0" fontId="0" fillId="0" borderId="0" xfId="0">
      <alignment vertical="center"/>
    </xf>
    <xf numFmtId="0" fontId="1" fillId="0" borderId="0" xfId="0">
      <alignment vertical="center"/>
    </xf>
    <xf numFmtId="0" fontId="2" fillId="0" borderId="0" xfId="0">
      <alignment horizontal="center" vertical="center"/>
    </xf>
    <xf fontId="0" fillId="0" borderId="0" xfId="0"/>
    <xf numFmtId="301" fontId="3" fillId="2" borderId="1" xfId="0" applyFont="1" applyFill="1" applyBorder="1" applyAlignment="1">
      <alignment horizontal="center" vertical="center" wrapText="1"/>
    </xf>
    <xf numFmtId="301" fontId="4" fillId="3" borderId="1" xfId="0" applyFont="1" applyBorder="1" applyAlignment="1">
      <alignment horizontal="center"/>
    </xf>
    <xf numFmtId="2" fontId="7" fillId="3" borderId="1" xfId="0" applyNumberFormat="1" applyBorder="1" applyAlignment="1">
      <alignment horizontal="right"/>
    </xf>
    <xf numFmtId="301" fontId="7" fillId="3" borderId="1" xfId="0" applyBorder="1" applyAlignment="1">
      <alignment horizontal="right"/>
    </xf>
    <xf numFmtId="0" fontId="3" fillId="2" borderId="1" xfId="0" applyNumberFormat="1" applyFont="1" applyFill="1" applyBorder="1" applyAlignment="1">
      <alignment horizontal="center" vertical="center" wrapText="1"/>
    </xf>
    <xf numFmtId="0" fontId="4" fillId="3" borderId="1" xfId="0" applyNumberFormat="1" applyFont="1" applyBorder="1" applyAlignment="1">
      <alignment horizontal="center"/>
    </xf>
    <xf numFmtId="301" fontId="7" fillId="3" borderId="2" xfId="0"/>
    <xf numFmtId="301" fontId="7" fillId="3" borderId="1" xfId="0" applyBorder="1" applyAlignment="1">
      <alignment horizontal="center"/>
    </xf>
    <xf numFmtId="301" fontId="7" fillId="3" borderId="2" xfId="0" applyAlignment="1">
      <alignment horizontal="center"/>
    </xf>
    <xf numFmtId="300" fontId="7" fillId="3" borderId="1" xfId="0" applyNumberFormat="1" applyBorder="1" applyAlignment="1">
      <alignment horizontal="right"/>
    </xf>
    <xf numFmtId="301" fontId="5" fillId="3" borderId="2" xfId="0" applyFont="1" applyAlignment="1">
      <alignment vertical="top" wrapText="1"/>
    </xf>
    <xf numFmtId="301" fontId="7" fillId="3" borderId="2" xfId="0" applyAlignment="1">
      <alignment vertical="top" wrapText="1"/>
    </xf>
    <xf numFmtId="0" fontId="6" fillId="3" borderId="2" xfId="0" applyNumberFormat="1" applyFont="1" applyAlignment="1">
      <alignment vertical="top" wrapText="1"/>
    </xf>
    <xf numFmtId="60" fontId="7" fillId="3" borderId="1" xfId="0" applyNumberFormat="1" applyBorder="1" applyAlignment="1">
      <alignment horizontal="right"/>
    </xf>
    <xf numFmtId="0" fontId="7" fillId="3" borderId="1" xfId="0" applyNumberFormat="1" applyBorder="1" applyAlignment="1">
      <alignment horizontal="right"/>
    </xf>
  </cellXfs>
  <cellStyles>
    <cellStyle name="Normal" xfId="0" builtinId="0" hidden="0"/>
  </cellStyles>
</styleSheet>
</file>

<file path=xl/_rels/workbook.xml.rels><?xml version="1.0" encoding="UTF-8" standalone="yes"?><Relationships xmlns="http://schemas.openxmlformats.org/package/2006/relationships"><Relationship Id="rId7" Type="http://schemas.openxmlformats.org/officeDocument/2006/relationships/worksheet" Target="worksheets/sheet5.xml" /><Relationship Id="rId5" Type="http://schemas.openxmlformats.org/officeDocument/2006/relationships/worksheet" Target="worksheets/sheet3.xml" /><Relationship Id="rId6" Type="http://schemas.openxmlformats.org/officeDocument/2006/relationships/worksheet" Target="worksheets/sheet4.xml" /><Relationship Id="rId4" Type="http://schemas.openxmlformats.org/officeDocument/2006/relationships/worksheet" Target="worksheets/sheet2.xml" /><Relationship Id="rId8" Type="http://schemas.openxmlformats.org/officeDocument/2006/relationships/worksheet" Target="worksheets/sheet6.xml" /><Relationship Id="rId0" Type="http://schemas.openxmlformats.org/officeDocument/2006/relationships/sharedStrings" Target="sharedStrings.xml" /><Relationship Id="rId3" Type="http://schemas.openxmlformats.org/officeDocument/2006/relationships/worksheet" Target="worksheets/sheet1.xml" /><Relationship Id="rId2" Type="http://schemas.openxmlformats.org/officeDocument/2006/relationships/styles" Target="style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L6"/>
  <sheetViews>
    <sheetView showGridLines="1" workbookViewId="0">
      <pane xSplit="1" ySplit="1" topLeftCell="B2" activePane="bottomRight" state="frozen"/>
    </sheetView>
  </sheetViews>
  <sheetFormatPr baseColWidth="8" defaultRowHeight="15"/>
  <cols>
    <col min="1" max="1" width="12" customWidth="1"/>
    <col min="2" max="2" width="14" customWidth="1"/>
    <col min="3" max="3" width="11" customWidth="1"/>
    <col min="4" max="4" width="15.582" customWidth="1"/>
    <col min="5" max="5" width="11" customWidth="1"/>
    <col min="6" max="6" width="16.1914" customWidth="1"/>
    <col min="7" max="7" width="10" customWidth="1"/>
    <col min="8" max="8" width="10" customWidth="1"/>
    <col min="9" max="9" width="16.5625" customWidth="1"/>
    <col min="10" max="10" width="14.4727" customWidth="1"/>
    <col min="11" max="11" width="13.25" customWidth="1"/>
    <col min="12" max="12" width="13.25" customWidth="1"/>
  </cols>
  <sheetData>
    <row r="1" spans="1:12">
      <c r="A1" s="4" t="s">
        <v>15</v>
      </c>
      <c r="B1" s="4" t="s">
        <v>16</v>
      </c>
      <c r="C1" s="4" t="s">
        <v>17</v>
      </c>
      <c r="D1" s="4" t="s">
        <v>18</v>
      </c>
      <c r="E1" s="4" t="s">
        <v>19</v>
      </c>
      <c r="F1" s="4" t="s">
        <v>20</v>
      </c>
      <c r="G1" s="4" t="s">
        <v>21</v>
      </c>
      <c r="H1" s="4" t="s">
        <v>22</v>
      </c>
      <c r="I1" s="4" t="s">
        <v>23</v>
      </c>
      <c r="J1" s="4" t="s">
        <v>24</v>
      </c>
      <c r="K1" s="4" t="s">
        <v>25</v>
      </c>
      <c r="L1" s="4" t="s">
        <v>26</v>
      </c>
    </row>
    <row r="2" spans="1:12">
      <c r="A2" s="5" t="s">
        <v>27</v>
      </c>
      <c r="B2" s="6">
        <v>3336.94</v>
      </c>
      <c r="C2" s="7" t="s"/>
      <c r="D2" s="6">
        <v>893.49</v>
      </c>
      <c r="E2" s="7" t="s"/>
      <c r="F2" s="6">
        <v>892.7</v>
      </c>
      <c r="G2" s="6">
        <v>42.3</v>
      </c>
      <c r="H2" s="6">
        <v>26.78</v>
      </c>
      <c r="I2" s="6">
        <v>1710.09</v>
      </c>
      <c r="J2" s="6">
        <v>56.76</v>
      </c>
      <c r="K2" s="6">
        <v>67.09</v>
      </c>
      <c r="L2" s="6">
        <v>5.59</v>
      </c>
    </row>
    <row r="3" spans="1:12">
      <c r="A3" s="5" t="s">
        <v>28</v>
      </c>
      <c r="B3" s="6">
        <v>3910.58</v>
      </c>
      <c r="C3" s="6">
        <v>17.19</v>
      </c>
      <c r="D3" s="6">
        <v>1097.03</v>
      </c>
      <c r="E3" s="6">
        <v>22.78</v>
      </c>
      <c r="F3" s="6">
        <v>1091.33</v>
      </c>
      <c r="G3" s="6">
        <v>44.26</v>
      </c>
      <c r="H3" s="6">
        <v>28.05</v>
      </c>
      <c r="I3" s="6">
        <v>1967.99</v>
      </c>
      <c r="J3" s="6">
        <v>50.46</v>
      </c>
      <c r="K3" s="6">
        <v>54.69</v>
      </c>
      <c r="L3" s="6">
        <v>6.83</v>
      </c>
    </row>
    <row r="4" spans="1:12">
      <c r="A4" s="5" t="s">
        <v>29</v>
      </c>
      <c r="B4" s="6">
        <v>1754.53</v>
      </c>
      <c r="C4" s="6">
        <v>-55.13</v>
      </c>
      <c r="D4" s="6">
        <v>238.6</v>
      </c>
      <c r="E4" s="6">
        <v>-78.25</v>
      </c>
      <c r="F4" s="6">
        <v>237.52</v>
      </c>
      <c r="G4" s="6">
        <v>16.36</v>
      </c>
      <c r="H4" s="6">
        <v>13.6</v>
      </c>
      <c r="I4" s="6">
        <v>225.84</v>
      </c>
      <c r="J4" s="6">
        <v>47.4</v>
      </c>
      <c r="K4" s="6">
        <v>12.17</v>
      </c>
      <c r="L4" s="6">
        <v>1.48</v>
      </c>
    </row>
    <row r="5" spans="1:12">
      <c r="A5" s="5" t="s">
        <v>30</v>
      </c>
      <c r="B5" s="6">
        <v>2338.59</v>
      </c>
      <c r="C5" s="6">
        <v>33.29</v>
      </c>
      <c r="D5" s="6">
        <v>491</v>
      </c>
      <c r="E5" s="6">
        <v>105.78</v>
      </c>
      <c r="F5" s="6">
        <v>490.17</v>
      </c>
      <c r="G5" s="6">
        <v>29.54</v>
      </c>
      <c r="H5" s="6">
        <v>21</v>
      </c>
      <c r="I5" s="6">
        <v>693.13</v>
      </c>
      <c r="J5" s="6">
        <v>42.7</v>
      </c>
      <c r="K5" s="6">
        <v>20.92</v>
      </c>
      <c r="L5" s="6">
        <v>3.08</v>
      </c>
    </row>
    <row r="6" spans="1:12">
      <c r="A6" s="5" t="s">
        <v>31</v>
      </c>
      <c r="B6" s="6">
        <v>2195.04</v>
      </c>
      <c r="C6" s="6">
        <v>-6.14</v>
      </c>
      <c r="D6" s="6">
        <v>308.68</v>
      </c>
      <c r="E6" s="6">
        <v>-37.13</v>
      </c>
      <c r="F6" s="6">
        <v>307.27</v>
      </c>
      <c r="G6" s="6">
        <v>20.05</v>
      </c>
      <c r="H6" s="6">
        <v>14.06</v>
      </c>
      <c r="I6" s="6">
        <v>455.46</v>
      </c>
      <c r="J6" s="6">
        <v>41.42</v>
      </c>
      <c r="K6" s="6">
        <v>13.29</v>
      </c>
      <c r="L6" s="6">
        <v>1.99</v>
      </c>
    </row>
  </sheetData>
  <pageMargins left="0.75" right="0.75" top="1" bottom="1" header="0.5" footer="0.5"/>
</worksheet>
</file>

<file path=xl/worksheets/sheet2.xml><?xml version="1.0" encoding="utf-8"?>
<worksheet xmlns="http://schemas.openxmlformats.org/spreadsheetml/2006/main">
  <sheetPr codeName="季度核心数据">
    <outlinePr summaryBelow="1" summaryRight="1"/>
    <pageSetUpPr/>
  </sheetPr>
  <dimension ref="J23"/>
  <sheetViews>
    <sheetView showGridLines="1" workbookViewId="0">
      <pane xSplit="1" ySplit="1" topLeftCell="B2" activePane="bottomRight" state="frozen"/>
    </sheetView>
  </sheetViews>
  <sheetFormatPr baseColWidth="8" defaultRowHeight="15"/>
  <cols>
    <col min="1" max="1" width="10" customWidth="1"/>
    <col min="2" max="2" width="20.3633" customWidth="1"/>
    <col min="3" max="3" width="14" customWidth="1"/>
    <col min="4" max="4" width="13.7422" customWidth="1"/>
    <col min="5" max="5" width="16" customWidth="1"/>
    <col min="6" max="6" width="14" customWidth="1"/>
    <col min="7" max="7" width="13" customWidth="1"/>
    <col min="8" max="8" width="16" customWidth="1"/>
    <col min="9" max="9" width="12" customWidth="1"/>
    <col min="10" max="10" width="12" customWidth="1"/>
  </cols>
  <sheetData>
    <row r="1" spans="1:10">
      <c r="A1" s="4" t="s">
        <v>15</v>
      </c>
      <c r="B1" s="8" t="s">
        <v>1</v>
      </c>
      <c r="C1" s="4" t="s">
        <v>32</v>
      </c>
      <c r="D1" s="8" t="s">
        <v>2</v>
      </c>
      <c r="E1" s="8" t="s">
        <v>3</v>
      </c>
      <c r="F1" s="4" t="s">
        <v>33</v>
      </c>
      <c r="G1" s="8" t="s">
        <v>4</v>
      </c>
      <c r="H1" s="8" t="s">
        <v>5</v>
      </c>
      <c r="I1" s="8" t="s">
        <v>6</v>
      </c>
      <c r="J1" s="8" t="s">
        <v>7</v>
      </c>
    </row>
    <row r="2" spans="1:10">
      <c r="A2" s="5" t="s">
        <v>34</v>
      </c>
      <c r="B2" s="6">
        <v>648.43</v>
      </c>
      <c r="C2" s="6">
        <v>648.43</v>
      </c>
      <c r="D2" s="7" t="s"/>
      <c r="E2" s="6">
        <v>154.52</v>
      </c>
      <c r="F2" s="6">
        <v>154.52</v>
      </c>
      <c r="G2" s="7" t="s"/>
      <c r="H2" s="6">
        <v>154.08</v>
      </c>
      <c r="I2" s="6">
        <v>33.21</v>
      </c>
      <c r="J2" s="6">
        <v>23.83</v>
      </c>
    </row>
    <row r="3" spans="1:10">
      <c r="A3" s="5" t="s">
        <v>35</v>
      </c>
      <c r="B3" s="6">
        <v>744.22</v>
      </c>
      <c r="C3" s="6">
        <v>1392.64</v>
      </c>
      <c r="D3" s="7" t="s"/>
      <c r="E3" s="6">
        <v>216.46</v>
      </c>
      <c r="F3" s="6">
        <v>370.98</v>
      </c>
      <c r="G3" s="7" t="s"/>
      <c r="H3" s="6">
        <v>216.13</v>
      </c>
      <c r="I3" s="6">
        <v>42.62</v>
      </c>
      <c r="J3" s="6">
        <v>29.09</v>
      </c>
    </row>
    <row r="4" spans="1:10">
      <c r="A4" s="5" t="s">
        <v>36</v>
      </c>
      <c r="B4" s="6">
        <v>922.14</v>
      </c>
      <c r="C4" s="6">
        <v>2314.79</v>
      </c>
      <c r="D4" s="7" t="s"/>
      <c r="E4" s="6">
        <v>305.34</v>
      </c>
      <c r="F4" s="6">
        <v>676.32</v>
      </c>
      <c r="G4" s="7" t="s"/>
      <c r="H4" s="6">
        <v>304.01</v>
      </c>
      <c r="I4" s="6">
        <v>52.05</v>
      </c>
      <c r="J4" s="6">
        <v>33.11</v>
      </c>
    </row>
    <row r="5" spans="1:10">
      <c r="A5" s="5" t="s">
        <v>37</v>
      </c>
      <c r="B5" s="6">
        <v>1022.15</v>
      </c>
      <c r="C5" s="6">
        <v>3336.94</v>
      </c>
      <c r="D5" s="7" t="s"/>
      <c r="E5" s="6">
        <v>217.17</v>
      </c>
      <c r="F5" s="6">
        <v>893.49</v>
      </c>
      <c r="G5" s="7" t="s"/>
      <c r="H5" s="6">
        <v>218.49</v>
      </c>
      <c r="I5" s="6">
        <v>39.04</v>
      </c>
      <c r="J5" s="6">
        <v>21.25</v>
      </c>
    </row>
    <row r="6" spans="1:10">
      <c r="A6" s="5" t="s">
        <v>38</v>
      </c>
      <c r="B6" s="6">
        <v>1055.3</v>
      </c>
      <c r="C6" s="6">
        <v>1055.3</v>
      </c>
      <c r="D6" s="6">
        <v>62.75</v>
      </c>
      <c r="E6" s="6">
        <v>276.28</v>
      </c>
      <c r="F6" s="6">
        <v>276.28</v>
      </c>
      <c r="G6" s="6">
        <v>78.8</v>
      </c>
      <c r="H6" s="6">
        <v>274.81</v>
      </c>
      <c r="I6" s="6">
        <v>40.53</v>
      </c>
      <c r="J6" s="6">
        <v>26.18</v>
      </c>
    </row>
    <row r="7" spans="1:10">
      <c r="A7" s="5" t="s">
        <v>39</v>
      </c>
      <c r="B7" s="6">
        <v>1052.62</v>
      </c>
      <c r="C7" s="6">
        <v>2107.92</v>
      </c>
      <c r="D7" s="6">
        <v>41.44</v>
      </c>
      <c r="E7" s="6">
        <v>372.03</v>
      </c>
      <c r="F7" s="6">
        <v>648.31</v>
      </c>
      <c r="G7" s="6">
        <v>71.87</v>
      </c>
      <c r="H7" s="6">
        <v>370.23</v>
      </c>
      <c r="I7" s="6">
        <v>53.82</v>
      </c>
      <c r="J7" s="6">
        <v>35.34</v>
      </c>
    </row>
    <row r="8" spans="1:10">
      <c r="A8" s="5" t="s">
        <v>40</v>
      </c>
      <c r="B8" s="6">
        <v>1057.63</v>
      </c>
      <c r="C8" s="6">
        <v>3165.54</v>
      </c>
      <c r="D8" s="6">
        <v>14.69</v>
      </c>
      <c r="E8" s="6">
        <v>325.46</v>
      </c>
      <c r="F8" s="6">
        <v>973.77</v>
      </c>
      <c r="G8" s="6">
        <v>6.59</v>
      </c>
      <c r="H8" s="6">
        <v>323.74</v>
      </c>
      <c r="I8" s="6">
        <v>42.94</v>
      </c>
      <c r="J8" s="6">
        <v>30.77</v>
      </c>
    </row>
    <row r="9" spans="1:10">
      <c r="A9" s="5" t="s">
        <v>41</v>
      </c>
      <c r="B9" s="6">
        <v>745.04</v>
      </c>
      <c r="C9" s="6">
        <v>3910.58</v>
      </c>
      <c r="D9" s="6">
        <v>-27.11</v>
      </c>
      <c r="E9" s="6">
        <v>123.26</v>
      </c>
      <c r="F9" s="6">
        <v>1097.03</v>
      </c>
      <c r="G9" s="6">
        <v>-43.24</v>
      </c>
      <c r="H9" s="6">
        <v>122.55</v>
      </c>
      <c r="I9" s="6">
        <v>37.88</v>
      </c>
      <c r="J9" s="6">
        <v>16.54</v>
      </c>
    </row>
    <row r="10" spans="1:10">
      <c r="A10" s="5" t="s">
        <v>42</v>
      </c>
      <c r="B10" s="6">
        <v>473.53</v>
      </c>
      <c r="C10" s="6">
        <v>473.53</v>
      </c>
      <c r="D10" s="6">
        <v>-55.13</v>
      </c>
      <c r="E10" s="6">
        <v>71.27</v>
      </c>
      <c r="F10" s="6">
        <v>71.27</v>
      </c>
      <c r="G10" s="6">
        <v>-74.2</v>
      </c>
      <c r="H10" s="6">
        <v>70.93</v>
      </c>
      <c r="I10" s="6">
        <v>22.31</v>
      </c>
      <c r="J10" s="6">
        <v>15.05</v>
      </c>
    </row>
    <row r="11" spans="1:10">
      <c r="A11" s="5" t="s">
        <v>43</v>
      </c>
      <c r="B11" s="6">
        <v>444.89</v>
      </c>
      <c r="C11" s="6">
        <v>918.43</v>
      </c>
      <c r="D11" s="6">
        <v>-57.73</v>
      </c>
      <c r="E11" s="6">
        <v>94.33</v>
      </c>
      <c r="F11" s="6">
        <v>165.61</v>
      </c>
      <c r="G11" s="6">
        <v>-74.64</v>
      </c>
      <c r="H11" s="6">
        <v>94.27</v>
      </c>
      <c r="I11" s="6">
        <v>22.04</v>
      </c>
      <c r="J11" s="6">
        <v>21.2</v>
      </c>
    </row>
    <row r="12" spans="1:10">
      <c r="A12" s="5" t="s">
        <v>44</v>
      </c>
      <c r="B12" s="6">
        <v>427.82</v>
      </c>
      <c r="C12" s="6">
        <v>1346.25</v>
      </c>
      <c r="D12" s="6">
        <v>-59.55</v>
      </c>
      <c r="E12" s="6">
        <v>55.1</v>
      </c>
      <c r="F12" s="6">
        <v>220.71</v>
      </c>
      <c r="G12" s="6">
        <v>-83.07</v>
      </c>
      <c r="H12" s="6">
        <v>54.62</v>
      </c>
      <c r="I12" s="6">
        <v>12.21</v>
      </c>
      <c r="J12" s="6">
        <v>12.88</v>
      </c>
    </row>
    <row r="13" spans="1:10">
      <c r="A13" s="5" t="s">
        <v>45</v>
      </c>
      <c r="B13" s="6">
        <v>408.28</v>
      </c>
      <c r="C13" s="6">
        <v>1754.53</v>
      </c>
      <c r="D13" s="6">
        <v>-45.2</v>
      </c>
      <c r="E13" s="6">
        <v>17.89</v>
      </c>
      <c r="F13" s="6">
        <v>238.6</v>
      </c>
      <c r="G13" s="6">
        <v>-85.49</v>
      </c>
      <c r="H13" s="6">
        <v>17.7</v>
      </c>
      <c r="I13" s="6">
        <v>7.63</v>
      </c>
      <c r="J13" s="6">
        <v>4.38</v>
      </c>
    </row>
    <row r="14" spans="1:10">
      <c r="A14" s="5" t="s">
        <v>46</v>
      </c>
      <c r="B14" s="6">
        <v>482.8</v>
      </c>
      <c r="C14" s="6">
        <v>482.8</v>
      </c>
      <c r="D14" s="6">
        <v>1.96</v>
      </c>
      <c r="E14" s="6">
        <v>67.55</v>
      </c>
      <c r="F14" s="6">
        <v>67.55</v>
      </c>
      <c r="G14" s="6">
        <v>-5.23</v>
      </c>
      <c r="H14" s="6">
        <v>67.24</v>
      </c>
      <c r="I14" s="6">
        <v>19.4</v>
      </c>
      <c r="J14" s="6">
        <v>13.99</v>
      </c>
    </row>
    <row r="15" spans="1:10">
      <c r="A15" s="5" t="s">
        <v>47</v>
      </c>
      <c r="B15" s="6">
        <v>529.44</v>
      </c>
      <c r="C15" s="6">
        <v>1012.24</v>
      </c>
      <c r="D15" s="6">
        <v>19</v>
      </c>
      <c r="E15" s="6">
        <v>101.15</v>
      </c>
      <c r="F15" s="6">
        <v>168.7</v>
      </c>
      <c r="G15" s="6">
        <v>7.23</v>
      </c>
      <c r="H15" s="6">
        <v>100.96</v>
      </c>
      <c r="I15" s="6">
        <v>27.16</v>
      </c>
      <c r="J15" s="6">
        <v>19.11</v>
      </c>
    </row>
    <row r="16" spans="1:10">
      <c r="A16" s="5" t="s">
        <v>48</v>
      </c>
      <c r="B16" s="6">
        <v>735.13</v>
      </c>
      <c r="C16" s="6">
        <v>1747.37</v>
      </c>
      <c r="D16" s="6">
        <v>71.83</v>
      </c>
      <c r="E16" s="6">
        <v>212.54</v>
      </c>
      <c r="F16" s="6">
        <v>381.24</v>
      </c>
      <c r="G16" s="6">
        <v>285.71</v>
      </c>
      <c r="H16" s="6">
        <v>212.39</v>
      </c>
      <c r="I16" s="6">
        <v>40.81</v>
      </c>
      <c r="J16" s="6">
        <v>28.91</v>
      </c>
    </row>
    <row r="17" spans="1:10">
      <c r="A17" s="5" t="s">
        <v>49</v>
      </c>
      <c r="B17" s="6">
        <v>591.22</v>
      </c>
      <c r="C17" s="6">
        <v>2338.59</v>
      </c>
      <c r="D17" s="6">
        <v>44.81</v>
      </c>
      <c r="E17" s="6">
        <v>109.76</v>
      </c>
      <c r="F17" s="6">
        <v>491</v>
      </c>
      <c r="G17" s="6">
        <v>513.5</v>
      </c>
      <c r="H17" s="6">
        <v>109.59</v>
      </c>
      <c r="I17" s="6">
        <v>25.94</v>
      </c>
      <c r="J17" s="6">
        <v>18.57</v>
      </c>
    </row>
    <row r="18" spans="1:10">
      <c r="A18" s="5" t="s">
        <v>50</v>
      </c>
      <c r="B18" s="6">
        <v>579.6</v>
      </c>
      <c r="C18" s="6">
        <v>579.6</v>
      </c>
      <c r="D18" s="6">
        <v>20.05</v>
      </c>
      <c r="E18" s="6">
        <v>116.95</v>
      </c>
      <c r="F18" s="6">
        <v>116.95</v>
      </c>
      <c r="G18" s="6">
        <v>73.12</v>
      </c>
      <c r="H18" s="6">
        <v>116.42</v>
      </c>
      <c r="I18" s="6">
        <v>27.05</v>
      </c>
      <c r="J18" s="6">
        <v>20.18</v>
      </c>
    </row>
    <row r="19" spans="1:10">
      <c r="A19" s="5" t="s">
        <v>51</v>
      </c>
      <c r="B19" s="6">
        <v>511.39</v>
      </c>
      <c r="C19" s="6">
        <v>1090.99</v>
      </c>
      <c r="D19" s="6">
        <v>-3.41</v>
      </c>
      <c r="E19" s="6">
        <v>58.42</v>
      </c>
      <c r="F19" s="6">
        <v>175.36</v>
      </c>
      <c r="G19" s="6">
        <v>-42.25</v>
      </c>
      <c r="H19" s="6">
        <v>58.23</v>
      </c>
      <c r="I19" s="6">
        <v>14.45</v>
      </c>
      <c r="J19" s="6">
        <v>11.42</v>
      </c>
    </row>
    <row r="20" spans="1:10">
      <c r="A20" s="5" t="s">
        <v>52</v>
      </c>
      <c r="B20" s="6">
        <v>584.99</v>
      </c>
      <c r="C20" s="6">
        <v>1675.99</v>
      </c>
      <c r="D20" s="6">
        <v>-20.42</v>
      </c>
      <c r="E20" s="6">
        <v>95.33</v>
      </c>
      <c r="F20" s="6">
        <v>270.7</v>
      </c>
      <c r="G20" s="6">
        <v>-55.14</v>
      </c>
      <c r="H20" s="6">
        <v>95</v>
      </c>
      <c r="I20" s="6">
        <v>23.53</v>
      </c>
      <c r="J20" s="6">
        <v>16.3</v>
      </c>
    </row>
    <row r="21" spans="1:10">
      <c r="A21" s="5" t="s">
        <v>53</v>
      </c>
      <c r="B21" s="6">
        <v>519.05</v>
      </c>
      <c r="C21" s="6">
        <v>2195.04</v>
      </c>
      <c r="D21" s="6">
        <v>-12.21</v>
      </c>
      <c r="E21" s="6">
        <v>37.99</v>
      </c>
      <c r="F21" s="6">
        <v>308.68</v>
      </c>
      <c r="G21" s="6">
        <v>-65.39</v>
      </c>
      <c r="H21" s="6">
        <v>37.62</v>
      </c>
      <c r="I21" s="6">
        <v>13.83</v>
      </c>
      <c r="J21" s="6">
        <v>7.32</v>
      </c>
    </row>
    <row r="22" spans="1:10">
      <c r="A22" s="5" t="s">
        <v>54</v>
      </c>
      <c r="B22" s="6">
        <v>517.97</v>
      </c>
      <c r="C22" s="6">
        <v>517.97</v>
      </c>
      <c r="D22" s="6">
        <v>-10.63</v>
      </c>
      <c r="E22" s="6">
        <v>58.77</v>
      </c>
      <c r="F22" s="6">
        <v>58.77</v>
      </c>
      <c r="G22" s="6">
        <v>-49.75</v>
      </c>
      <c r="H22" s="6">
        <v>58.6</v>
      </c>
      <c r="I22" s="6">
        <v>17.24</v>
      </c>
      <c r="J22" s="6">
        <v>11.35</v>
      </c>
    </row>
    <row r="23" spans="1:10">
      <c r="A23" s="9" t="s">
        <v>8</v>
      </c>
      <c r="B23" s="10">
        <v>601.25</v>
      </c>
      <c r="C23" s="10">
        <v>1119.22</v>
      </c>
      <c r="D23" s="10">
        <v>17.57</v>
      </c>
      <c r="E23" s="10">
        <v>75.42</v>
      </c>
      <c r="F23" s="10">
        <v>134.19</v>
      </c>
      <c r="G23" s="10">
        <v>29.1</v>
      </c>
      <c r="H23" s="10">
        <v>75.27</v>
      </c>
      <c r="J23" s="10">
        <v>12.55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H7"/>
  <sheetViews>
    <sheetView showGridLines="1" workbookViewId="0">
      <pane xSplit="1" ySplit="1" topLeftCell="B2" activePane="bottomRight" state="frozen"/>
    </sheetView>
  </sheetViews>
  <sheetFormatPr baseColWidth="8" defaultRowHeight="15"/>
  <cols>
    <col min="1" max="1" width="10" customWidth="1"/>
    <col min="2" max="2" width="16" customWidth="1"/>
    <col min="3" max="3" width="16" customWidth="1"/>
    <col min="4" max="4" width="16" customWidth="1"/>
    <col min="5" max="5" width="28.582" customWidth="1"/>
    <col min="6" max="6" width="16" customWidth="1"/>
    <col min="7" max="7" width="12" customWidth="1"/>
    <col min="8" max="8" width="61.3398" customWidth="1"/>
  </cols>
  <sheetData>
    <row r="1" spans="1:8">
      <c r="A1" s="4" t="s">
        <v>15</v>
      </c>
      <c r="B1" s="4" t="s">
        <v>55</v>
      </c>
      <c r="C1" s="4" t="s">
        <v>56</v>
      </c>
      <c r="D1" s="4" t="s">
        <v>57</v>
      </c>
      <c r="E1" s="4" t="s">
        <v>58</v>
      </c>
      <c r="F1" s="4" t="s">
        <v>18</v>
      </c>
      <c r="G1" s="4" t="s">
        <v>59</v>
      </c>
      <c r="H1" s="4" t="s">
        <v>60</v>
      </c>
    </row>
    <row r="2" spans="1:8">
      <c r="A2" s="5" t="s">
        <v>27</v>
      </c>
      <c r="B2" s="6">
        <v>0.87</v>
      </c>
      <c r="C2" s="6">
        <v>0</v>
      </c>
      <c r="D2" s="6">
        <v>0.87</v>
      </c>
      <c r="E2" s="6">
        <v>139.32</v>
      </c>
      <c r="F2" s="6">
        <v>892.96</v>
      </c>
      <c r="G2" s="6">
        <v>15.6</v>
      </c>
      <c r="H2" s="11" t="s">
        <v>61</v>
      </c>
    </row>
    <row r="3" spans="1:8">
      <c r="A3" s="5" t="s">
        <v>28</v>
      </c>
      <c r="B3" s="6">
        <v>1.39</v>
      </c>
      <c r="C3" s="6">
        <v>2.01</v>
      </c>
      <c r="D3" s="6">
        <v>3.4</v>
      </c>
      <c r="E3" s="6">
        <v>547.16</v>
      </c>
      <c r="F3" s="6">
        <v>1095.95</v>
      </c>
      <c r="G3" s="6">
        <v>49.93</v>
      </c>
      <c r="H3" s="11" t="s">
        <v>62</v>
      </c>
    </row>
    <row r="4" spans="1:8">
      <c r="A4" s="5" t="s">
        <v>29</v>
      </c>
      <c r="B4" s="6">
        <v>0.23</v>
      </c>
      <c r="C4" s="6">
        <v>0.51</v>
      </c>
      <c r="D4" s="6">
        <v>0.74</v>
      </c>
      <c r="E4" s="6">
        <v>119.17</v>
      </c>
      <c r="F4" s="6">
        <v>238.6</v>
      </c>
      <c r="G4" s="6">
        <v>49.94</v>
      </c>
      <c r="H4" s="11" t="s">
        <v>63</v>
      </c>
    </row>
    <row r="5" spans="1:8">
      <c r="A5" s="5" t="s">
        <v>30</v>
      </c>
      <c r="B5" s="6">
        <v>1.03</v>
      </c>
      <c r="C5" s="6">
        <v>0.52</v>
      </c>
      <c r="D5" s="6">
        <v>1.55</v>
      </c>
      <c r="E5" s="6">
        <v>247.4</v>
      </c>
      <c r="F5" s="6">
        <v>491</v>
      </c>
      <c r="G5" s="6">
        <v>50.38</v>
      </c>
      <c r="H5" s="11" t="s">
        <v>64</v>
      </c>
    </row>
    <row r="6" spans="1:8">
      <c r="A6" s="5" t="s">
        <v>31</v>
      </c>
      <c r="B6" s="6">
        <v>0.44</v>
      </c>
      <c r="C6" s="6">
        <v>0.56</v>
      </c>
      <c r="D6" s="6">
        <v>1</v>
      </c>
      <c r="E6" s="6">
        <v>154.12</v>
      </c>
      <c r="F6" s="6">
        <v>308.68</v>
      </c>
      <c r="G6" s="6">
        <v>49.93</v>
      </c>
      <c r="H6" s="11" t="s">
        <v>9</v>
      </c>
    </row>
    <row r="7" spans="1:8">
      <c r="A7" s="5" t="s">
        <v>31</v>
      </c>
      <c r="B7" s="10">
        <v>0</v>
      </c>
      <c r="C7" s="10">
        <v>0.43</v>
      </c>
      <c r="D7" s="10">
        <v>0.43</v>
      </c>
      <c r="E7" s="10">
        <v>65.65</v>
      </c>
      <c r="F7" s="10">
        <v>134.19</v>
      </c>
      <c r="G7" s="10">
        <v>48.9</v>
      </c>
      <c r="H7" s="12" t="s">
        <v>65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K6"/>
  <sheetViews>
    <sheetView showGridLines="1" workbookViewId="0">
      <pane xSplit="1" ySplit="1" topLeftCell="B2" activePane="bottomRight" state="frozen"/>
    </sheetView>
  </sheetViews>
  <sheetFormatPr baseColWidth="8" defaultRowHeight="15"/>
  <cols>
    <col min="1" max="1" width="10" customWidth="1"/>
    <col min="2" max="2" width="22" customWidth="1"/>
    <col min="3" max="3" width="24" customWidth="1"/>
    <col min="4" max="4" width="20" customWidth="1"/>
    <col min="5" max="5" width="20" customWidth="1"/>
    <col min="6" max="6" width="20" customWidth="1"/>
    <col min="7" max="7" width="20" customWidth="1"/>
    <col min="8" max="8" width="18" customWidth="1"/>
    <col min="9" max="9" width="26.9922" customWidth="1"/>
    <col min="10" max="10" width="16" customWidth="1"/>
    <col min="11" max="11" width="45.1406" customWidth="1"/>
  </cols>
  <sheetData>
    <row r="1" spans="1:11">
      <c r="A1" s="4" t="s">
        <v>15</v>
      </c>
      <c r="B1" s="4" t="s">
        <v>66</v>
      </c>
      <c r="C1" s="4" t="s">
        <v>67</v>
      </c>
      <c r="D1" s="8" t="s">
        <v>14</v>
      </c>
      <c r="E1" s="4" t="s">
        <v>69</v>
      </c>
      <c r="F1" s="8" t="s">
        <v>10</v>
      </c>
      <c r="G1" s="8" t="s">
        <v>11</v>
      </c>
      <c r="H1" s="4" t="s">
        <v>70</v>
      </c>
      <c r="I1" s="4" t="s">
        <v>71</v>
      </c>
      <c r="J1" s="4" t="s">
        <v>72</v>
      </c>
      <c r="K1" s="4" t="s">
        <v>73</v>
      </c>
    </row>
    <row r="2" spans="1:11">
      <c r="A2" s="5" t="s">
        <v>27</v>
      </c>
      <c r="B2" s="17">
        <v>1890.7</v>
      </c>
      <c r="C2" s="6">
        <v>1120.98</v>
      </c>
      <c r="D2" s="6">
        <v>325.03</v>
      </c>
      <c r="E2" s="17">
        <v>290.07</v>
      </c>
      <c r="F2" s="13">
        <f>=D2*70%</f>
        <v>227.521</v>
      </c>
      <c r="G2" s="13">
        <f>=E2*30%</f>
        <v>87.021</v>
      </c>
      <c r="H2" s="17">
        <v>154.61</v>
      </c>
      <c r="I2" s="7">
        <v>1000</v>
      </c>
      <c r="J2" s="6">
        <v>2691.2</v>
      </c>
      <c r="K2" s="7" t="s">
        <v>74</v>
      </c>
    </row>
    <row r="3" spans="1:11">
      <c r="A3" s="5" t="s">
        <v>28</v>
      </c>
      <c r="B3" s="6">
        <v>2140.64</v>
      </c>
      <c r="C3" s="6">
        <v>1145.05</v>
      </c>
      <c r="D3" s="6">
        <v>452.3</v>
      </c>
      <c r="E3" s="6">
        <v>382.74</v>
      </c>
      <c r="F3" s="13">
        <f>=D3*70%</f>
        <v>316.61</v>
      </c>
      <c r="G3" s="13">
        <f>=E3*30%</f>
        <v>114.822</v>
      </c>
      <c r="H3" s="17">
        <v>160.55</v>
      </c>
      <c r="I3" s="7">
        <v>1205</v>
      </c>
      <c r="J3" s="7">
        <v>2571</v>
      </c>
      <c r="K3" s="7" t="s">
        <v>74</v>
      </c>
    </row>
    <row r="4" spans="1:11">
      <c r="A4" s="5" t="s">
        <v>29</v>
      </c>
      <c r="B4" s="17">
        <v>1425.71</v>
      </c>
      <c r="C4" s="17">
        <v>604.02</v>
      </c>
      <c r="D4" s="17">
        <v>384.2</v>
      </c>
      <c r="E4" s="17">
        <v>315.88</v>
      </c>
      <c r="F4" s="13">
        <f>=D4*70%</f>
        <v>268.94</v>
      </c>
      <c r="G4" s="13">
        <f>=E4*30%</f>
        <v>94.764</v>
      </c>
      <c r="H4" s="18">
        <v>121.61</v>
      </c>
      <c r="I4" s="7">
        <v>786</v>
      </c>
      <c r="J4" s="6">
        <v>2355.37</v>
      </c>
      <c r="K4" s="7" t="s">
        <v>75</v>
      </c>
    </row>
    <row r="5" spans="1:11">
      <c r="A5" s="5" t="s">
        <v>30</v>
      </c>
      <c r="B5" s="17">
        <v>1599.15</v>
      </c>
      <c r="C5" s="17">
        <v>769.19</v>
      </c>
      <c r="D5" s="17">
        <v>376.38</v>
      </c>
      <c r="E5" s="17">
        <v>316.95</v>
      </c>
      <c r="F5" s="13">
        <f>=D5*70%</f>
        <v>263.466</v>
      </c>
      <c r="G5" s="13">
        <f>=E5*30%</f>
        <v>95.085</v>
      </c>
      <c r="H5" s="18">
        <v>136.63</v>
      </c>
      <c r="I5" s="7">
        <v>868</v>
      </c>
      <c r="J5" s="6">
        <v>2516.48</v>
      </c>
      <c r="K5" s="7" t="s">
        <v>75</v>
      </c>
    </row>
    <row r="6" spans="1:11">
      <c r="A6" s="5" t="s">
        <v>31</v>
      </c>
      <c r="B6" s="17">
        <v>1697.67</v>
      </c>
      <c r="C6" s="6">
        <v>820.56</v>
      </c>
      <c r="D6" s="6">
        <v>372.22</v>
      </c>
      <c r="E6" s="6">
        <v>359.8</v>
      </c>
      <c r="F6" s="13">
        <f>=D6*70%</f>
        <v>260.554</v>
      </c>
      <c r="G6" s="13">
        <f>=E6*30%</f>
        <v>107.94</v>
      </c>
      <c r="H6" s="17">
        <v>145.09</v>
      </c>
      <c r="I6" s="7">
        <v>872</v>
      </c>
      <c r="J6" s="7">
        <v>2650</v>
      </c>
      <c r="K6" s="7" t="s">
        <v>76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H6"/>
  <sheetViews>
    <sheetView showGridLines="1" workbookViewId="0">
      <pane xSplit="1" ySplit="1" topLeftCell="B2" activePane="bottomRight" state="frozen"/>
    </sheetView>
  </sheetViews>
  <sheetFormatPr baseColWidth="8" defaultRowHeight="15"/>
  <cols>
    <col min="1" max="1" width="10" customWidth="1"/>
    <col min="2" max="2" width="18" customWidth="1"/>
    <col min="3" max="3" width="18" customWidth="1"/>
    <col min="4" max="4" width="18.8906" customWidth="1"/>
    <col min="5" max="5" width="18.2812" customWidth="1"/>
    <col min="6" max="6" width="20.3633" customWidth="1"/>
    <col min="7" max="7" width="12" customWidth="1"/>
    <col min="8" max="8" width="32" customWidth="1"/>
  </cols>
  <sheetData>
    <row r="1" spans="1:8">
      <c r="A1" s="4" t="s">
        <v>15</v>
      </c>
      <c r="B1" s="4" t="s">
        <v>77</v>
      </c>
      <c r="C1" s="4" t="s">
        <v>78</v>
      </c>
      <c r="D1" s="4" t="s">
        <v>79</v>
      </c>
      <c r="E1" s="4" t="s">
        <v>80</v>
      </c>
      <c r="F1" s="4" t="s">
        <v>81</v>
      </c>
      <c r="G1" s="4" t="s">
        <v>82</v>
      </c>
      <c r="H1" s="4" t="s">
        <v>73</v>
      </c>
    </row>
    <row r="2" spans="1:8">
      <c r="A2" s="5" t="s">
        <v>27</v>
      </c>
      <c r="B2" s="6">
        <v>79.31</v>
      </c>
      <c r="C2" s="6">
        <v>56.29</v>
      </c>
      <c r="D2" s="6">
        <v>29.03</v>
      </c>
      <c r="E2" s="6">
        <v>23.02</v>
      </c>
      <c r="F2" s="6">
        <v>12928.64</v>
      </c>
      <c r="G2" s="6">
        <v>2.38</v>
      </c>
      <c r="H2" s="7" t="s">
        <v>83</v>
      </c>
    </row>
    <row r="3" spans="1:8">
      <c r="A3" s="5" t="s">
        <v>28</v>
      </c>
      <c r="B3" s="6">
        <v>97.98</v>
      </c>
      <c r="C3" s="6">
        <v>66.97</v>
      </c>
      <c r="D3" s="6">
        <v>31.65</v>
      </c>
      <c r="E3" s="6">
        <v>31.01</v>
      </c>
      <c r="F3" s="6">
        <v>13000</v>
      </c>
      <c r="G3" s="6">
        <v>2.51</v>
      </c>
      <c r="H3" s="7" t="s">
        <v>84</v>
      </c>
    </row>
    <row r="4" spans="1:8">
      <c r="A4" s="5" t="s">
        <v>29</v>
      </c>
      <c r="B4" s="6">
        <v>103.96</v>
      </c>
      <c r="C4" s="6">
        <v>71.83</v>
      </c>
      <c r="D4" s="6">
        <v>30.9</v>
      </c>
      <c r="E4" s="6">
        <v>32.13</v>
      </c>
      <c r="F4" s="6">
        <v>13600</v>
      </c>
      <c r="G4" s="6">
        <v>5.93</v>
      </c>
      <c r="H4" s="7" t="s">
        <v>83</v>
      </c>
    </row>
    <row r="5" spans="1:8">
      <c r="A5" s="5" t="s">
        <v>30</v>
      </c>
      <c r="B5" s="6">
        <v>108.1</v>
      </c>
      <c r="C5" s="6">
        <v>77.09</v>
      </c>
      <c r="D5" s="6">
        <v>28.7</v>
      </c>
      <c r="E5" s="6">
        <v>31.01</v>
      </c>
      <c r="F5" s="6">
        <v>14403.27</v>
      </c>
      <c r="G5" s="6">
        <v>4.62</v>
      </c>
      <c r="H5" s="7" t="s">
        <v>83</v>
      </c>
    </row>
    <row r="6" spans="1:8">
      <c r="A6" s="5" t="s">
        <v>31</v>
      </c>
      <c r="B6" s="6">
        <v>120.41</v>
      </c>
      <c r="C6" s="6">
        <v>89.22</v>
      </c>
      <c r="D6" s="6">
        <v>25.91</v>
      </c>
      <c r="E6" s="6">
        <v>31.19</v>
      </c>
      <c r="F6" s="6">
        <v>15299.5</v>
      </c>
      <c r="G6" s="6">
        <v>5.49</v>
      </c>
      <c r="H6" s="7" t="s">
        <v>84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42"/>
  <sheetViews>
    <sheetView showGridLines="1" workbookViewId="0"/>
  </sheetViews>
  <sheetFormatPr baseColWidth="8" defaultRowHeight="15"/>
  <cols>
    <col min="1" max="1" width="44" customWidth="1"/>
    <col min="2" max="2" width="82" customWidth="1"/>
  </cols>
  <sheetData>
    <row r="1" spans="1:2">
      <c r="A1" s="14" t="s">
        <v>85</v>
      </c>
      <c r="B1" s="15" t="s"/>
    </row>
    <row r="2" spans="1:2">
      <c r="A2" s="15" t="s"/>
      <c r="B2" s="15" t="s"/>
    </row>
    <row r="3" spans="1:2">
      <c r="A3" s="15" t="s">
        <v>86</v>
      </c>
      <c r="B3" s="15" t="s">
        <v>87</v>
      </c>
    </row>
    <row r="4" spans="1:2">
      <c r="A4" s="15" t="s">
        <v>88</v>
      </c>
      <c r="B4" s="15" t="s">
        <v>89</v>
      </c>
    </row>
    <row r="5" spans="1:2">
      <c r="A5" s="15" t="s"/>
      <c r="B5" s="15" t="s"/>
    </row>
    <row r="6" spans="1:2">
      <c r="A6" s="15" t="s">
        <v>90</v>
      </c>
      <c r="B6" s="15" t="s"/>
    </row>
    <row r="7" spans="1:2">
      <c r="A7" s="15" t="s">
        <v>91</v>
      </c>
      <c r="B7" s="15" t="s">
        <v>92</v>
      </c>
    </row>
    <row r="8" spans="1:2">
      <c r="A8" s="15" t="s">
        <v>93</v>
      </c>
      <c r="B8" s="15" t="s">
        <v>94</v>
      </c>
    </row>
    <row r="9" spans="1:2">
      <c r="A9" s="15" t="s">
        <v>95</v>
      </c>
      <c r="B9" s="15" t="s">
        <v>96</v>
      </c>
    </row>
    <row r="10" spans="1:2">
      <c r="A10" s="15" t="s">
        <v>97</v>
      </c>
      <c r="B10" s="15" t="s">
        <v>98</v>
      </c>
    </row>
    <row r="11" spans="1:2">
      <c r="A11" s="15" t="s"/>
      <c r="B11" s="15" t="s"/>
    </row>
    <row r="12" spans="1:2">
      <c r="A12" s="15" t="s">
        <v>99</v>
      </c>
      <c r="B12" s="15" t="s"/>
    </row>
    <row r="13" spans="1:2">
      <c r="A13" s="15" t="s">
        <v>100</v>
      </c>
      <c r="B13" s="15" t="s">
        <v>101</v>
      </c>
    </row>
    <row r="14" spans="1:2">
      <c r="A14" s="15" t="s">
        <v>102</v>
      </c>
      <c r="B14" s="15" t="s">
        <v>103</v>
      </c>
    </row>
    <row r="15" spans="1:2">
      <c r="A15" s="15" t="s">
        <v>104</v>
      </c>
      <c r="B15" s="15" t="s">
        <v>105</v>
      </c>
    </row>
    <row r="16" spans="1:2">
      <c r="A16" s="15" t="s">
        <v>106</v>
      </c>
      <c r="B16" s="15" t="s">
        <v>107</v>
      </c>
    </row>
    <row r="17" spans="1:2">
      <c r="A17" s="15" t="s"/>
      <c r="B17" s="15" t="s"/>
    </row>
    <row r="18" spans="1:2">
      <c r="A18" s="15" t="s">
        <v>108</v>
      </c>
      <c r="B18" s="15" t="s"/>
    </row>
    <row r="19" spans="1:2">
      <c r="A19" s="15" t="s">
        <v>109</v>
      </c>
      <c r="B19" s="15" t="s">
        <v>110</v>
      </c>
    </row>
    <row r="20" spans="1:2">
      <c r="A20" s="15" t="s">
        <v>111</v>
      </c>
      <c r="B20" s="15" t="s">
        <v>112</v>
      </c>
    </row>
    <row r="21" spans="1:2">
      <c r="A21" s="15" t="s">
        <v>113</v>
      </c>
      <c r="B21" s="15" t="s">
        <v>114</v>
      </c>
    </row>
    <row r="22" spans="1:2">
      <c r="A22" s="15" t="s"/>
      <c r="B22" s="15" t="s"/>
    </row>
    <row r="23" spans="1:2">
      <c r="A23" s="15" t="s">
        <v>115</v>
      </c>
      <c r="B23" s="15" t="s"/>
    </row>
    <row r="24" spans="1:2">
      <c r="A24" s="15" t="s">
        <v>116</v>
      </c>
      <c r="B24" s="15" t="s">
        <v>117</v>
      </c>
    </row>
    <row r="25" spans="1:2">
      <c r="A25" s="15" t="s">
        <v>118</v>
      </c>
      <c r="B25" s="15" t="s">
        <v>119</v>
      </c>
    </row>
    <row r="26" spans="1:2">
      <c r="A26" s="15" t="s">
        <v>120</v>
      </c>
      <c r="B26" s="15" t="s">
        <v>121</v>
      </c>
    </row>
    <row r="27" spans="1:2">
      <c r="A27" s="15" t="s">
        <v>122</v>
      </c>
      <c r="B27" s="15" t="s">
        <v>123</v>
      </c>
    </row>
    <row r="28" spans="1:2">
      <c r="A28" s="15" t="s">
        <v>124</v>
      </c>
      <c r="B28" s="15" t="s">
        <v>125</v>
      </c>
    </row>
    <row r="29" spans="1:2">
      <c r="A29" s="15" t="s">
        <v>126</v>
      </c>
      <c r="B29" s="15" t="s">
        <v>127</v>
      </c>
    </row>
    <row r="30" spans="1:2">
      <c r="A30" s="15" t="s"/>
      <c r="B30" s="16" t="s">
        <v>13</v>
      </c>
    </row>
    <row r="31" spans="1:2">
      <c r="A31" s="15" t="s">
        <v>128</v>
      </c>
      <c r="B31" s="15" t="s"/>
    </row>
    <row r="32" spans="1:2">
      <c r="A32" s="15" t="s">
        <v>116</v>
      </c>
      <c r="B32" s="15" t="s">
        <v>129</v>
      </c>
    </row>
    <row r="33" spans="1:2">
      <c r="A33" s="15" t="s">
        <v>130</v>
      </c>
      <c r="B33" s="15" t="s">
        <v>131</v>
      </c>
    </row>
    <row r="34" spans="1:2">
      <c r="A34" s="15" t="s">
        <v>132</v>
      </c>
      <c r="B34" s="15" t="s">
        <v>133</v>
      </c>
    </row>
    <row r="35" spans="1:2">
      <c r="A35" s="15" t="s">
        <v>134</v>
      </c>
      <c r="B35" s="15" t="s">
        <v>135</v>
      </c>
    </row>
    <row r="36" spans="1:2">
      <c r="A36" s="15" t="s">
        <v>136</v>
      </c>
      <c r="B36" s="15" t="s">
        <v>137</v>
      </c>
    </row>
    <row r="37" spans="1:2">
      <c r="A37" s="15" t="s"/>
      <c r="B37" s="15" t="s"/>
    </row>
    <row r="38" spans="1:2">
      <c r="A38" s="15" t="s">
        <v>138</v>
      </c>
      <c r="B38" s="15" t="s"/>
    </row>
    <row r="39" spans="1:2">
      <c r="A39" s="15" t="s">
        <v>139</v>
      </c>
      <c r="B39" s="15" t="s"/>
    </row>
    <row r="40" spans="1:2">
      <c r="A40" s="15" t="s">
        <v>140</v>
      </c>
      <c r="B40" s="15" t="s"/>
    </row>
    <row r="41" spans="1:2">
      <c r="A41" s="15" t="s">
        <v>141</v>
      </c>
      <c r="B41" s="15" t="s"/>
    </row>
    <row r="42" spans="1:2">
      <c r="A42" s="15" t="s">
        <v>142</v>
      </c>
      <c r="B42" s="15" t="s"/>
    </row>
  </sheetData>
  <pageMargins left="0.75" right="0.75" top="1" bottom="1" header="0.5" footer="0.5"/>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dc="http://purl.org/dc/elements/1.1/" xmlns:cp="http://schemas.openxmlformats.org/package/2006/metadata/core-properties">
  <dcterms:created xsi:type="dcterms:W3CDTF">2026-09-05T00:12:22Z</dcterms:created>
  <dcterms:modified xsi:type="dcterms:W3CDTF">2026-09-05T00:12:22Z</dcterms:modified>
</cp:coreProperties>
</file>