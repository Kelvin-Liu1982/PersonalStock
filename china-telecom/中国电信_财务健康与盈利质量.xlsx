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报数据" sheetId="1" state="visible" r:id="rId1"/>
    <sheet xmlns:r="http://schemas.openxmlformats.org/officeDocument/2006/relationships" name="季报数据" sheetId="2" state="visible" r:id="rId2"/>
    <sheet xmlns:r="http://schemas.openxmlformats.org/officeDocument/2006/relationships" name="数据来源与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5616D"/>
      <sz val="13"/>
    </font>
    <font>
      <name val="微软雅黑"/>
      <color rgb="007A8694"/>
      <sz val="10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15616D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5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中国电信 · 财务健康与盈利质量（2020–2025）</t>
        </is>
      </c>
    </row>
    <row r="2">
      <c r="A2" s="2" t="inlineStr">
        <is>
          <t>口径：全年累计；指标为行、年份为列；单位见指标名；无法核验年份显示'—'。</t>
        </is>
      </c>
    </row>
    <row r="4">
      <c r="A4" s="3" t="inlineStr">
        <is>
          <t>指标</t>
        </is>
      </c>
      <c r="B4" s="3" t="inlineStr">
        <is>
          <t>2020</t>
        </is>
      </c>
      <c r="C4" s="3" t="inlineStr">
        <is>
          <t>2021</t>
        </is>
      </c>
      <c r="D4" s="3" t="inlineStr">
        <is>
          <t>2022</t>
        </is>
      </c>
      <c r="E4" s="3" t="inlineStr">
        <is>
          <t>2023</t>
        </is>
      </c>
      <c r="F4" s="3" t="inlineStr">
        <is>
          <t>2024</t>
        </is>
      </c>
      <c r="G4" s="3" t="inlineStr">
        <is>
          <t>2025</t>
        </is>
      </c>
      <c r="H4" s="3" t="inlineStr">
        <is>
          <t>备注</t>
        </is>
      </c>
    </row>
    <row r="5">
      <c r="A5" s="4" t="inlineStr">
        <is>
          <t>营业收入(营业额)(亿元)</t>
        </is>
      </c>
      <c r="B5" s="5" t="n">
        <v>3935.61</v>
      </c>
      <c r="C5" s="5" t="n">
        <v>4395.53</v>
      </c>
      <c r="D5" s="5" t="n">
        <v>4814.48</v>
      </c>
      <c r="E5" s="5" t="n">
        <v>5135.51</v>
      </c>
      <c r="F5" s="5" t="n">
        <v>5294.17</v>
      </c>
      <c r="G5" s="5" t="n">
        <v>5295.59</v>
      </c>
      <c r="H5" s="6" t="inlineStr">
        <is>
          <t>H 股'营业额'口径；2023-2025 实时抓取自 Eastmoney H 股 F10，与港交所年报一致；A 股'营业收入'约低57亿 ｜源:HKEX_AR_2020_2025|EM_HK_F10_INCOME</t>
        </is>
      </c>
    </row>
    <row r="6">
      <c r="A6" s="4" t="inlineStr">
        <is>
          <t>本公司股东应占溢利(净利)(亿元)</t>
        </is>
      </c>
      <c r="B6" s="5" t="n">
        <v>208.5</v>
      </c>
      <c r="C6" s="5" t="n">
        <v>259.49</v>
      </c>
      <c r="D6" s="5" t="n">
        <v>275.93</v>
      </c>
      <c r="E6" s="5" t="n">
        <v>304.46</v>
      </c>
      <c r="F6" s="5" t="n">
        <v>330.12</v>
      </c>
      <c r="G6" s="5" t="n">
        <v>331.85</v>
      </c>
      <c r="H6" s="6" t="inlineStr">
        <is>
          <t>H 股合并口径（=A 股归母净利润）；2025=331.85≈332 亿 ｜源:HKEX_AR_2020_2025|EM_HK_F10_INCOME</t>
        </is>
      </c>
    </row>
    <row r="7">
      <c r="A7" s="4" t="inlineStr">
        <is>
          <t>EBITDA(亿元)</t>
        </is>
      </c>
      <c r="B7" s="5" t="n">
        <v>1189</v>
      </c>
      <c r="C7" s="7" t="inlineStr">
        <is>
          <t>—</t>
        </is>
      </c>
      <c r="D7" s="5" t="n">
        <v>1304</v>
      </c>
      <c r="E7" s="5" t="n">
        <v>1368.3</v>
      </c>
      <c r="F7" s="5" t="n">
        <v>1408.47</v>
      </c>
      <c r="G7" s="5" t="n">
        <v>1438.72</v>
      </c>
      <c r="H7" s="6">
        <f>经营溢利+折旧与摊销；2023=1368.3、2024=1408.5、2025=1438.7(≈1439)；2020=1189、2022=1304；2021 待核 ｜源:HKEX_AR_2020_2025(经营溢利+折旧与摊销)</f>
        <v/>
      </c>
    </row>
    <row r="8">
      <c r="A8" s="4" t="inlineStr">
        <is>
          <t>净资产收益率 ROE(%)</t>
        </is>
      </c>
      <c r="B8" s="5" t="n">
        <v>5.82</v>
      </c>
      <c r="C8" s="5" t="n">
        <v>6.55</v>
      </c>
      <c r="D8" s="5" t="n">
        <v>6.41</v>
      </c>
      <c r="E8" s="5" t="n">
        <v>6.9</v>
      </c>
      <c r="F8" s="5" t="n">
        <v>7.37</v>
      </c>
      <c r="G8" s="5" t="n">
        <v>7.27</v>
      </c>
      <c r="H8" s="6" t="inlineStr">
        <is>
          <t>加权 ROE；2020=5.82/2021=6.55/2022=6.41/2023=6.9/2024=7.37/2025=7.27 ｜源:HKEX_AR_2020_2025(复合指标)</t>
        </is>
      </c>
    </row>
    <row r="9">
      <c r="A9" s="4" t="inlineStr">
        <is>
          <t>净利率(%)</t>
        </is>
      </c>
      <c r="B9" s="5" t="n">
        <v>5.36</v>
      </c>
      <c r="C9" s="5" t="n">
        <v>5.95</v>
      </c>
      <c r="D9" s="5" t="n">
        <v>5.75</v>
      </c>
      <c r="E9" s="5" t="n">
        <v>5.93</v>
      </c>
      <c r="F9" s="5" t="n">
        <v>6.23</v>
      </c>
      <c r="G9" s="5" t="n">
        <v>6.27</v>
      </c>
      <c r="H9" s="6">
        <f>股东应占溢利/营业额；2025=6.27% ｜源:HKEX_AR_2020_2025(销售净利率)</f>
        <v/>
      </c>
    </row>
    <row r="10">
      <c r="A10" s="4" t="inlineStr">
        <is>
          <t>资产负债率(%)</t>
        </is>
      </c>
      <c r="B10" s="5" t="n">
        <v>48.79</v>
      </c>
      <c r="C10" s="5" t="n">
        <v>43.43</v>
      </c>
      <c r="D10" s="5" t="n">
        <v>45.97</v>
      </c>
      <c r="E10" s="5" t="n">
        <v>46.5</v>
      </c>
      <c r="F10" s="5" t="n">
        <v>47.32</v>
      </c>
      <c r="G10" s="5" t="n">
        <v>46.22</v>
      </c>
      <c r="H10" s="6" t="inlineStr">
        <is>
          <t>2020-2023 取自 A 股合并报表复合指标；2024-2025 取自 H 股 F10 资产负债表（实时抓取覆盖 2025=46.22） ｜源:HKEX_AR_2020_2025(复合指标)|EM_HK_F10_BALANCE</t>
        </is>
      </c>
    </row>
    <row r="11">
      <c r="A11" s="4" t="inlineStr">
        <is>
          <t>自由现金流(亿元)</t>
        </is>
      </c>
      <c r="B11" s="5" t="n">
        <v>143</v>
      </c>
      <c r="C11" s="7" t="inlineStr">
        <is>
          <t>—</t>
        </is>
      </c>
      <c r="D11" s="5" t="n">
        <v>132</v>
      </c>
      <c r="E11" s="5" t="n">
        <v>130</v>
      </c>
      <c r="F11" s="7" t="inlineStr">
        <is>
          <t>—</t>
        </is>
      </c>
      <c r="G11" s="5" t="n">
        <v>447</v>
      </c>
      <c r="H11" s="6">
        <f>EBITDA-资本开支-所得税-使用权资产折旧；2020=143、2022=132、2023=130、2025=447；2021/2024 待核 ｜源:HKEX_AR_2020_2025</f>
        <v/>
      </c>
    </row>
    <row r="12">
      <c r="A12" s="4" t="inlineStr">
        <is>
          <t>应收账款(亿元)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—</t>
        </is>
      </c>
      <c r="F12" s="5" t="n">
        <v>598.51</v>
      </c>
      <c r="G12" s="5" t="n">
        <v>531.46</v>
      </c>
      <c r="H12" s="6" t="inlineStr">
        <is>
          <t>H 股 F10 资产负债表科目；2025=531.46（实时抓取；总资产=8706.44、总负债=4023.84）；2024=598.51；历史待补 ｜源:EM_HK_F10_BALANCE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中国电信 · 财务健康与盈利质量（2020–2025） · 季报数据</t>
        </is>
      </c>
    </row>
    <row r="2">
      <c r="A2" s="2" t="inlineStr">
        <is>
          <t>口径：单季（由累计利润表推导）。</t>
        </is>
      </c>
    </row>
    <row r="4">
      <c r="A4" s="3" t="inlineStr">
        <is>
          <t>指标</t>
        </is>
      </c>
      <c r="B4" s="3" t="inlineStr">
        <is>
          <t>2025Q1</t>
        </is>
      </c>
      <c r="C4" s="3" t="inlineStr">
        <is>
          <t>2025H1</t>
        </is>
      </c>
      <c r="D4" s="3" t="inlineStr">
        <is>
          <t>2025Q3</t>
        </is>
      </c>
      <c r="E4" s="3" t="inlineStr">
        <is>
          <t>2025全年</t>
        </is>
      </c>
      <c r="F4" s="3" t="inlineStr">
        <is>
          <t>2026Q1</t>
        </is>
      </c>
      <c r="G4" s="3" t="inlineStr">
        <is>
          <t>备注</t>
        </is>
      </c>
    </row>
    <row r="5">
      <c r="A5" s="4" t="inlineStr">
        <is>
          <t>营业收入(单季,亿元)</t>
        </is>
      </c>
      <c r="B5" s="5" t="n">
        <v>1354.98</v>
      </c>
      <c r="C5" s="5" t="n">
        <v>1359.71</v>
      </c>
      <c r="D5" s="5" t="n">
        <v>1255.29</v>
      </c>
      <c r="E5" s="5" t="n">
        <v>1325.61</v>
      </c>
      <c r="F5" s="5" t="n">
        <v>1319.67</v>
      </c>
      <c r="G5" s="6" t="inlineStr">
        <is>
          <t>由累计利润表推导单季；Q1=一季报，H1=上半年</t>
        </is>
      </c>
    </row>
    <row r="6">
      <c r="A6" s="4" t="inlineStr">
        <is>
          <t>本公司股东应占溢利(单季,亿元)</t>
        </is>
      </c>
      <c r="B6" s="5" t="n">
        <v>88.64</v>
      </c>
      <c r="C6" s="5" t="n">
        <v>141.53</v>
      </c>
      <c r="D6" s="5" t="n">
        <v>77.56</v>
      </c>
      <c r="E6" s="5" t="n">
        <v>24.12</v>
      </c>
      <c r="F6" s="5" t="n">
        <v>73.5</v>
      </c>
      <c r="G6" s="6" t="inlineStr">
        <is>
          <t>由累计利润表推导单季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中国电信 · 财务健康与盈利质量（2020–2025） · 数据来源与口径说明</t>
        </is>
      </c>
    </row>
    <row r="3">
      <c r="A3" s="8" t="inlineStr">
        <is>
          <t>· 数据来源：东方财富 Eastmoney 港股 F10 利润表/资产负债表（00728.HK，源自港交所披露易）、A 股合并报表复合指标（00728 港股财务指标，源自历年年报）、港交所 2020-2025 年报与业绩公告。</t>
        </is>
      </c>
    </row>
    <row r="4">
      <c r="A4" s="8" t="inlineStr">
        <is>
          <t>· 单位：人民币亿元；比率%；应收账款/资产来自最新年度资产负债表（H 股 F10，币种人民币）。</t>
        </is>
      </c>
    </row>
    <row r="5">
      <c r="A5" s="8" t="inlineStr">
        <is>
          <t>· 营业收入采用 H 股'营业额'（经营收入）口径：2020-2025 与港交所年报披露一致（如 2025=5296 亿）。A 股合并利润表'营业收入'为较窄列报，约低 57 亿元，二者为同一合并主体不同列报口径。</t>
        </is>
      </c>
    </row>
    <row r="6">
      <c r="A6" s="8" t="inlineStr">
        <is>
          <t>· 净利润采用 H 股'本公司股东应占溢利'（=A 股归母净利润），2025=331.85 亿≈332 亿。</t>
        </is>
      </c>
    </row>
    <row r="7">
      <c r="A7" s="8" t="inlineStr">
        <is>
          <t>· EBITDA=经营溢利+折旧与摊销（来自实时抓取的利润表），2025=1438.7≈1439 亿；历史年度待补利润表科目。</t>
        </is>
      </c>
    </row>
    <row r="8">
      <c r="A8" s="8" t="inlineStr">
        <is>
          <t>· 2025 年营收/净利/EPS/应收账款/资产负债率由数据管道实时抓取自 Eastmoney 并覆盖已核验值。</t>
        </is>
      </c>
    </row>
    <row r="9">
      <c r="A9" s="8" t="inlineStr">
        <is>
          <t>· 无法核验的年份显示为'—'，待补公司历年年报。</t>
        </is>
      </c>
    </row>
    <row r="11">
      <c r="A11" s="2" t="inlineStr">
        <is>
          <t>抓取时间：2026-08-17 08:11:06</t>
        </is>
      </c>
    </row>
  </sheetData>
  <mergeCells count="7"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2026-08-17T00:11:06Z</dcterms:created>
  <dcterms:modified xmlns:dcterms="http://purl.org/dc/terms/" xmlns:xsi="http://www.w3.org/2001/XMLSchema-instance" xsi:type="dcterms:W3CDTF">2026-08-17T00:11:06Z</dcterms:modified>
</cp:coreProperties>
</file>