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中国电信 · 宏观政策与股东回报（2020–2025）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每股基本盈利(元)</t>
        </is>
      </c>
      <c r="B5" s="5" t="n">
        <v>0.26</v>
      </c>
      <c r="C5" s="5" t="n">
        <v>0.31</v>
      </c>
      <c r="D5" s="5" t="n">
        <v>0.3</v>
      </c>
      <c r="E5" s="5" t="n">
        <v>0.33</v>
      </c>
      <c r="F5" s="5" t="n">
        <v>0.36</v>
      </c>
      <c r="G5" s="5" t="n">
        <v>0.36</v>
      </c>
      <c r="H5" s="6" t="inlineStr">
        <is>
          <t>2020=0.26、2021=0.31、2022=0.30、2023=0.33、2024=0.36、2025=0.36（实时抓取覆盖） ｜源:HKEX_AR_2020_2025|EM_HK_F10_INCOME</t>
        </is>
      </c>
    </row>
    <row r="6">
      <c r="A6" s="4" t="inlineStr">
        <is>
          <t>每股股息(全年)(元)</t>
        </is>
      </c>
      <c r="B6" s="7" t="inlineStr">
        <is>
          <t>—</t>
        </is>
      </c>
      <c r="C6" s="7" t="inlineStr">
        <is>
          <t>—</t>
        </is>
      </c>
      <c r="D6" s="5" t="n">
        <v>0.2</v>
      </c>
      <c r="E6" s="5" t="n">
        <v>0.23</v>
      </c>
      <c r="F6" s="5" t="n">
        <v>0.26</v>
      </c>
      <c r="G6" s="5" t="n">
        <v>0.27</v>
      </c>
      <c r="H6" s="6" t="inlineStr">
        <is>
          <t>2022=0.196、2023=0.2332、2024=0.2598、2025=0.2720（中期+末期）；2020-2021(港元末期)待补 ｜源:HKEX_AR_2022_2025</t>
        </is>
      </c>
    </row>
    <row r="7">
      <c r="A7" s="4" t="inlineStr">
        <is>
          <t>派息率(%)</t>
        </is>
      </c>
      <c r="B7" s="7" t="inlineStr">
        <is>
          <t>—</t>
        </is>
      </c>
      <c r="C7" s="7" t="inlineStr">
        <is>
          <t>—</t>
        </is>
      </c>
      <c r="D7" s="5" t="n">
        <v>65</v>
      </c>
      <c r="E7" s="5" t="n">
        <v>70</v>
      </c>
      <c r="F7" s="5" t="n">
        <v>72</v>
      </c>
      <c r="G7" s="5" t="n">
        <v>75</v>
      </c>
      <c r="H7" s="6" t="inlineStr">
        <is>
          <t>2022=65%、2023&gt;70%、2024=72%、2025=75%（承诺三年内提升至75%以上）；2020-2021 待补 ｜源:HKEX_AR_2022_2025</t>
        </is>
      </c>
    </row>
    <row r="8">
      <c r="A8" s="4" t="inlineStr">
        <is>
          <t>现金分红总额(亿元)</t>
        </is>
      </c>
      <c r="B8" s="7" t="inlineStr">
        <is>
          <t>—</t>
        </is>
      </c>
      <c r="C8" s="7" t="inlineStr">
        <is>
          <t>—</t>
        </is>
      </c>
      <c r="D8" s="5" t="n">
        <v>179.35</v>
      </c>
      <c r="E8" s="5" t="n">
        <v>213.39</v>
      </c>
      <c r="F8" s="5" t="n">
        <v>237.74</v>
      </c>
      <c r="G8" s="5" t="n">
        <v>248.9</v>
      </c>
      <c r="H8" s="6">
        <f>每股×总股本(915.07亿股)；2022=179.35、2023=213.39、2024=237.74、2025=248.90；2020-2021 待补 ｜源:HKEX_AR_2022_2025</f>
        <v/>
      </c>
    </row>
    <row r="9">
      <c r="A9" s="4" t="inlineStr">
        <is>
          <t>H股股息率(TTM,%)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6">
        <f>每股股息/股价，随行情每日变动；需刷新行情快照后填入（见 quote-refresh 机制）</f>
        <v/>
      </c>
    </row>
    <row r="10">
      <c r="A10" s="4" t="inlineStr">
        <is>
          <t>股息利差=股息率-10Y国债(%)</t>
        </is>
      </c>
      <c r="B10" s="7" t="inlineStr">
        <is>
          <t>—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  <c r="H10" s="6">
        <f>H股股息率 - 10年期国债收益率；需行情快照与国债收益率后填入</f>
        <v/>
      </c>
    </row>
    <row r="11">
      <c r="A11" s="4" t="inlineStr">
        <is>
          <t>服务增值税(%)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n">
        <v>9</v>
      </c>
      <c r="H11" s="6" t="inlineStr">
        <is>
          <t>事件驱动：基础电信服务增值税由 6% 调整为 9%（2025 起执行），对收入/利润/现金流短期有负面影响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中国电信 · 宏观政策与股东回报（2020–2025）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1354.98</v>
      </c>
      <c r="C5" s="5" t="n">
        <v>1359.71</v>
      </c>
      <c r="D5" s="5" t="n">
        <v>1255.29</v>
      </c>
      <c r="E5" s="5" t="n">
        <v>1325.61</v>
      </c>
      <c r="F5" s="5" t="n">
        <v>1319.67</v>
      </c>
      <c r="G5" s="6" t="inlineStr">
        <is>
          <t>由累计利润表推导单季；Q1=一季报，H1=上半年</t>
        </is>
      </c>
    </row>
    <row r="6">
      <c r="A6" s="4" t="inlineStr">
        <is>
          <t>本公司股东应占溢利(单季,亿元)</t>
        </is>
      </c>
      <c r="B6" s="5" t="n">
        <v>88.64</v>
      </c>
      <c r="C6" s="5" t="n">
        <v>141.53</v>
      </c>
      <c r="D6" s="5" t="n">
        <v>77.56</v>
      </c>
      <c r="E6" s="5" t="n">
        <v>24.12</v>
      </c>
      <c r="F6" s="5" t="n">
        <v>73.5</v>
      </c>
      <c r="G6" s="6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中国电信 · 宏观政策与股东回报（2020–2025） · 数据来源与口径说明</t>
        </is>
      </c>
    </row>
    <row r="3">
      <c r="A3" s="8" t="inlineStr">
        <is>
          <t>· 数据来源：港交所 2022-2025 年报与业绩公告（EPS、每股股息、派息率、现金分红总额）。2020-2021 每股股息为港元末期息，未纳入人民币序列。</t>
        </is>
      </c>
    </row>
    <row r="4">
      <c r="A4" s="8" t="inlineStr">
        <is>
          <t>· 单位：EPS/每股股息 元；派息率/股息率 %；分红总额亿元。</t>
        </is>
      </c>
    </row>
    <row r="5">
      <c r="A5" s="8" t="inlineStr">
        <is>
          <t>· 派息率：2022=65%、2023&gt;70%、2024=72%、2025=75%（承诺三年内提升至 75% 以上）。</t>
        </is>
      </c>
    </row>
    <row r="6">
      <c r="A6" s="8" t="inlineStr">
        <is>
          <t>· 每股股息(全年)=中期+末期；2025=0.2720 元（+4.7%）。</t>
        </is>
      </c>
    </row>
    <row r="7">
      <c r="A7" s="8" t="inlineStr">
        <is>
          <t>· 服务增值税：基础电信服务增值税由 6% 调升为 9%（事件驱动，不存年度序列）。</t>
        </is>
      </c>
    </row>
    <row r="8">
      <c r="A8" s="8" t="inlineStr">
        <is>
          <t>· 股息率/股息利差随行情变动，需在刷新行情快照后回填（本地存储预留字段）。</t>
        </is>
      </c>
    </row>
    <row r="10">
      <c r="A10" s="2" t="inlineStr">
        <is>
          <t>抓取时间：2026-08-17 08:11:06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2026-08-17T00:11:06Z</dcterms:created>
  <dcterms:modified xmlns:dcterms="http://purl.org/dc/terms/" xmlns:xsi="http://www.w3.org/2001/XMLSchema-instance" xsi:type="dcterms:W3CDTF">2026-08-17T00:11:06Z</dcterms:modified>
</cp:coreProperties>
</file>