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季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<sst xmlns="http://schemas.openxmlformats.org/spreadsheetml/2006/main" count="42" uniqueCount="42">
  <si>
    <t/>
  </si>
  <si>
    <r>
      <t>中国电信 · 宏观政策与股东回报（2020–2025）</t>
    </r>
  </si>
  <si>
    <r>
      <t>口径：全年累计；指标为行、年份为列；单位见指标名；无法核验年份显示'—'。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</si>
  <si>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</si>
  <si>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</si>
  <si>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</si>
  <si>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</si>
  <si>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</si>
  <si>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</si>
  <si>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</si>
  <si>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备注</t>
    </r>
  </si>
  <si>
    <r>
      <t>每股基本盈利(元)</t>
    </r>
  </si>
  <si>
    <r>
      <t>2020=0.26、2021=0.31、2022=0.30、2023=0.33、2024=0.36、2025=0.36（实时抓取覆盖） ｜源:HKEX_AR_2020_2025|EM_HK_F10_INCOME</t>
    </r>
  </si>
  <si>
    <r>
      <t>每股股息(全年)(元)</t>
    </r>
  </si>
  <si>
    <r>
      <t>—</t>
    </r>
  </si>
  <si>
    <r>
      <t>2022=0.196、2023=0.2332、2024=0.2598、2025=0.2720（中期+末期）；2020-2021(港元末期)待补 ｜源:HKEX_AR_2022_2025</t>
    </r>
  </si>
  <si>
    <r>
      <t>派息率(%)</t>
    </r>
  </si>
  <si>
    <r>
      <t>2022=65%、2023&gt;70%、2024=72%、2025=75%（承诺三年内提升至75%以上）；2020-2021 待补 ｜源:HKEX_AR_2022_2025</t>
    </r>
  </si>
  <si>
    <r>
      <t>现金分红总额(亿元)</t>
    </r>
  </si>
  <si>
    <r>
      <t>H股股息率(TTM,%)</t>
    </r>
  </si>
  <si>
    <r>
      <t>股息利差=股息率-10Y国债(%)</t>
    </r>
  </si>
  <si>
    <r>
      <t>服务增值税(%)</t>
    </r>
  </si>
  <si>
    <r>
      <t>事件驱动：基础电信服务增值税由 6% 调整为 9%（2025 起执行），对收入/利润/现金流短期有负面影响</t>
    </r>
  </si>
  <si>
    <r>
      <t>中国电信 · 宏观政策与股东回报（2020–2025） · 季报数据</t>
    </r>
  </si>
  <si>
    <r>
      <t>口径：单季（由累计利润表推导）。</t>
    </r>
  </si>
  <si>
    <r>
      <t>2025Q1</t>
    </r>
  </si>
  <si>
    <r>
      <t>2025H1</t>
    </r>
  </si>
  <si>
    <r>
      <t>2025Q3</t>
    </r>
  </si>
  <si>
    <r>
      <t>2025全年</t>
    </r>
  </si>
  <si>
    <r>
      <t>2026Q1</t>
    </r>
  </si>
  <si>
    <r>
      <t>营业收入(单季,亿元)</t>
    </r>
  </si>
  <si>
    <r>
      <t>由累计利润表推导单季；Q1=一季报，H1=上半年</t>
    </r>
  </si>
  <si>
    <r>
      <t>本公司股东应占溢利(单季,亿元)</t>
    </r>
  </si>
  <si>
    <r>
      <t>由累计利润表推导单季</t>
    </r>
  </si>
  <si>
    <r>
      <t>中国电信 · 宏观政策与股东回报（2020–2025） · 数据来源与口径说明</t>
    </r>
  </si>
  <si>
    <r>
      <t>· 数据来源：港交所 2022-2025 年报与业绩公告（EPS、每股股息、派息率、现金分红总额）。2020-2021 每股股息为港元末期息，未纳入人民币序列。</t>
    </r>
  </si>
  <si>
    <r>
      <t>· 单位：EPS/每股股息 元；派息率/股息率 %；分红总额亿元。</t>
    </r>
  </si>
  <si>
    <r>
      <t>· 派息率：2022=65%、2023&gt;70%、2024=72%、2025=75%（承诺三年内提升至 75% 以上）。</t>
    </r>
  </si>
  <si>
    <r>
      <t>· 每股股息(全年)=中期+末期；2025=0.2720 元（+4.7%）。</t>
    </r>
  </si>
  <si>
    <r>
      <t>· 服务增值税：基础电信服务增值税由 6% 调升为 9%（事件驱动，不存年度序列）。</t>
    </r>
  </si>
  <si>
    <r>
      <t>· 股息率/股息利差随行情变动，需在刷新行情快照后回填（本地存储预留字段）。</t>
    </r>
  </si>
  <si>
    <r>
      <t>抓取时间：2026-08-17 08:11:06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</si>
</sst>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0" fontId="8" fillId="4" borderId="2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2" xfId="0" applyFont="1"/>
    <xf numFmtId="300" fontId="4" fillId="4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4" borderId="1" xfId="0" applyFont="1" applyBorder="1" applyAlignment="1">
      <alignment horizontal="left" vertical="center" wrapText="1"/>
    </xf>
    <xf numFmtId="4" fontId="7" fillId="4" borderId="1" xfId="0" applyNumberFormat="1" applyFont="1" applyBorder="1" applyAlignment="1">
      <alignment horizontal="right" vertical="center"/>
    </xf>
    <xf numFmtId="300" fontId="4" fillId="3" borderId="1" xfId="0" applyFont="1" applyFill="1" applyBorder="1" applyAlignment="1">
      <alignment horizontal="left" vertical="center" wrapText="1"/>
    </xf>
    <xf numFmtId="300" fontId="7" fillId="4" borderId="1" xfId="0" applyFont="1" applyBorder="1" applyAlignment="1">
      <alignment horizontal="right" vertical="center"/>
    </xf>
    <xf numFmtId="300" fontId="4" fillId="4" borderId="2" xfId="0" applyFont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1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51.5195" customWidth="1"/>
    <col min="9" max="11" width="23.3125" customWidth="1"/>
  </cols>
  <sheetData>
    <row r="1" spans="1:1">
      <c r="A1" s="4" t="s">
        <v>1</v>
      </c>
    </row>
    <row r="2" spans="1:1">
      <c r="A2" s="5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spans="1:8">
      <c r="A5" s="7" t="s">
        <v>11</v>
      </c>
      <c r="B5" s="8">
        <v>0.26</v>
      </c>
      <c r="C5" s="8">
        <v>0.31</v>
      </c>
      <c r="D5" s="8">
        <v>0.3</v>
      </c>
      <c r="E5" s="8">
        <v>0.33</v>
      </c>
      <c r="F5" s="8">
        <v>0.36</v>
      </c>
      <c r="G5" s="8">
        <v>0.36</v>
      </c>
      <c r="H5" s="9" t="s">
        <v>12</v>
      </c>
    </row>
    <row r="6" spans="1:8">
      <c r="A6" s="7" t="s">
        <v>13</v>
      </c>
      <c r="B6" s="10" t="s">
        <v>14</v>
      </c>
      <c r="C6" s="10" t="s">
        <v>14</v>
      </c>
      <c r="D6" s="8">
        <v>0.2</v>
      </c>
      <c r="E6" s="8">
        <v>0.23</v>
      </c>
      <c r="F6" s="8">
        <v>0.26</v>
      </c>
      <c r="G6" s="8">
        <v>0.27</v>
      </c>
      <c r="H6" s="9" t="s">
        <v>15</v>
      </c>
    </row>
    <row r="7" spans="1:8">
      <c r="A7" s="7" t="s">
        <v>16</v>
      </c>
      <c r="B7" s="10" t="s">
        <v>14</v>
      </c>
      <c r="C7" s="10" t="s">
        <v>14</v>
      </c>
      <c r="D7" s="8">
        <v>65</v>
      </c>
      <c r="E7" s="8">
        <v>70</v>
      </c>
      <c r="F7" s="8">
        <v>72</v>
      </c>
      <c r="G7" s="8">
        <v>75</v>
      </c>
      <c r="H7" s="9" t="s">
        <v>17</v>
      </c>
    </row>
    <row r="8" spans="1:8">
      <c r="A8" s="7" t="s">
        <v>18</v>
      </c>
      <c r="B8" s="10" t="s">
        <v>14</v>
      </c>
      <c r="C8" s="10" t="s">
        <v>14</v>
      </c>
      <c r="D8" s="8">
        <v>179.35</v>
      </c>
      <c r="E8" s="8">
        <v>213.39</v>
      </c>
      <c r="F8" s="8">
        <v>237.74</v>
      </c>
      <c r="G8" s="8">
        <v>248.9</v>
      </c>
      <c r="H8" s="9">
        <f>=每股×总股本(915.07亿股)；2022=179.35、2023=213.39、2024=237.74、2025=248.90；2020-2021 待补 ｜源:HKEX_AR_2022_2025</f>
        <v>0</v>
      </c>
    </row>
    <row r="9" spans="1:8">
      <c r="A9" s="7" t="s">
        <v>19</v>
      </c>
      <c r="B9" s="10" t="s">
        <v>14</v>
      </c>
      <c r="C9" s="10" t="s">
        <v>14</v>
      </c>
      <c r="D9" s="10" t="s">
        <v>14</v>
      </c>
      <c r="E9" s="10" t="s">
        <v>14</v>
      </c>
      <c r="F9" s="10" t="s">
        <v>14</v>
      </c>
      <c r="G9" s="10" t="s">
        <v>14</v>
      </c>
      <c r="H9" s="9">
        <f>=每股股息/股价，随行情每日变动；需刷新行情快照后填入（见 quote-refresh 机制）</f>
        <v>0</v>
      </c>
    </row>
    <row r="10" spans="1:8">
      <c r="A10" s="7" t="s">
        <v>20</v>
      </c>
      <c r="B10" s="10" t="s">
        <v>14</v>
      </c>
      <c r="C10" s="10" t="s">
        <v>14</v>
      </c>
      <c r="D10" s="10" t="s">
        <v>14</v>
      </c>
      <c r="E10" s="10" t="s">
        <v>14</v>
      </c>
      <c r="F10" s="10" t="s">
        <v>14</v>
      </c>
      <c r="G10" s="10" t="s">
        <v>14</v>
      </c>
      <c r="H10" s="9">
        <f>=H股股息率 - 10年期国债收益率；需行情快照与国债收益率后填入</f>
        <v>0</v>
      </c>
    </row>
    <row r="11" spans="1:8">
      <c r="A11" s="7" t="s">
        <v>21</v>
      </c>
      <c r="B11" s="10" t="s">
        <v>14</v>
      </c>
      <c r="C11" s="10" t="s">
        <v>14</v>
      </c>
      <c r="D11" s="10" t="s">
        <v>14</v>
      </c>
      <c r="E11" s="10" t="s">
        <v>14</v>
      </c>
      <c r="F11" s="10" t="s">
        <v>14</v>
      </c>
      <c r="G11" s="10">
        <v>9</v>
      </c>
      <c r="H11" s="9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 spans="1:1">
      <c r="A1" s="4" t="s">
        <v>23</v>
      </c>
    </row>
    <row r="2" spans="1:1">
      <c r="A2" s="5" t="s">
        <v>24</v>
      </c>
    </row>
    <row r="4" spans="1:7">
      <c r="A4" s="6" t="s">
        <v>3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10</v>
      </c>
    </row>
    <row r="5" spans="1:7">
      <c r="A5" s="7" t="s">
        <v>30</v>
      </c>
      <c r="B5" s="8">
        <v>1354.98</v>
      </c>
      <c r="C5" s="8">
        <v>1359.71</v>
      </c>
      <c r="D5" s="8">
        <v>1255.29</v>
      </c>
      <c r="E5" s="8">
        <v>1325.61</v>
      </c>
      <c r="F5" s="8">
        <v>1319.67</v>
      </c>
      <c r="G5" s="9" t="s">
        <v>31</v>
      </c>
    </row>
    <row r="6" spans="1:7">
      <c r="A6" s="7" t="s">
        <v>32</v>
      </c>
      <c r="B6" s="8">
        <v>88.64</v>
      </c>
      <c r="C6" s="8">
        <v>141.53</v>
      </c>
      <c r="D6" s="8">
        <v>77.56</v>
      </c>
      <c r="E6" s="8">
        <v>24.12</v>
      </c>
      <c r="F6" s="8">
        <v>73.5</v>
      </c>
      <c r="G6" s="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0"/>
  <sheetViews>
    <sheetView showGridLines="1" workbookViewId="0"/>
  </sheetViews>
  <sheetFormatPr baseColWidth="8" defaultRowHeight="15"/>
  <cols>
    <col min="1" max="1" width="120" customWidth="1"/>
  </cols>
  <sheetData>
    <row r="1" spans="1:1">
      <c r="A1" s="4" t="s">
        <v>34</v>
      </c>
    </row>
    <row r="3" spans="1:1">
      <c r="A3" s="11" t="s">
        <v>35</v>
      </c>
    </row>
    <row r="4" spans="1:1">
      <c r="A4" s="11" t="s">
        <v>36</v>
      </c>
    </row>
    <row r="5" spans="1:1">
      <c r="A5" s="11" t="s">
        <v>37</v>
      </c>
    </row>
    <row r="6" spans="1:1">
      <c r="A6" s="11" t="s">
        <v>38</v>
      </c>
    </row>
    <row r="7" spans="1:1">
      <c r="A7" s="11" t="s">
        <v>39</v>
      </c>
    </row>
    <row r="8" spans="1:1">
      <c r="A8" s="11" t="s">
        <v>40</v>
      </c>
    </row>
    <row r="10" spans="1:1">
      <c r="A10" s="5" t="s">
        <v>41</v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2026-08-23T20:18:50Z</dcterms:created>
  <dcterms:modified xsi:type="dcterms:W3CDTF">2026-08-23T20:18:50Z</dcterms:modified>
</cp:coreProperties>
</file>