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中报数据" sheetId="2" r:id="rId4"/>
    <sheet name="数据来源与口径说明" sheetId="3" r:id="rId5"/>
  </sheets>
  <calcPr calcId="124519" fullCalcOnLoad="1"/>
</workbook>
</file>

<file path=xl/sharedStrings.xml><?xml version="1.0" encoding="utf-8"?>
<sst xmlns="http://schemas.openxmlformats.org/spreadsheetml/2006/main" count="58" uniqueCount="58">
  <si>
    <t/>
  </si>
  <si>
    <r>
      <t>中国移动 · 宏观政策与股东回报（2020–2025）</t>
    </r>
  </si>
  <si>
    <r>
      <t>口径：全年累计。派息率＝公司披露的全年现金分红÷股东应占利润（人民币口径）；每股股息＝全年中期+末期合计（港元）；股息率＝全年每股股息÷年末H股收盘价（未复权）。</t>
    </r>
  </si>
  <si>
    <r>
      <t>指标</t>
    </r>
  </si>
  <si>
    <r>
      <t>2020</t>
    </r>
  </si>
  <si>
    <r>
      <t>2021</t>
    </r>
  </si>
  <si>
    <r>
      <t>2022</t>
    </r>
  </si>
  <si>
    <r>
      <t>2023</t>
    </r>
  </si>
  <si>
    <r>
      <t>2024</t>
    </r>
  </si>
  <si>
    <r>
      <t>2025</t>
    </r>
  </si>
  <si>
    <r>
      <t>备注</t>
    </r>
  </si>
  <si>
    <r>
      <t>派息率（%）</t>
    </r>
  </si>
  <si>
    <r>
      <t>公司披露口径；2024年起「三年内提升至75%以上」，2025年已达75%（提前兑现），2026年派息率将「稳中有升」</t>
    </r>
  </si>
  <si>
    <r>
      <t>每股股息（港元）</t>
    </r>
  </si>
  <si>
    <r>
      <t>全年＝中期+末期：3.29(1.53+1.76)、4.06(1.63+2.43)、4.41(2.20+2.21)、4.83(2.43+2.40)、5.09(2.60+2.49)、5.27(2.75+2.52)</t>
    </r>
  </si>
  <si>
    <r>
      <t>H股股息率</t>
    </r>
  </si>
  <si>
    <r>
      <t>全年股息÷年末H股收盘价(未复权)：44.20/46.80/51.75/64.80/76.60/81.70港元</t>
    </r>
  </si>
  <si>
    <r>
      <t>中国10年期国债到期收益率（%）</t>
    </r>
  </si>
  <si>
    <r>
      <t>中债10年到期收益率，取年末(12月)值；来源：中债估值/Choice/Wind，多源交叉验证</t>
    </r>
  </si>
  <si>
    <r>
      <t>股息利差（百分点）</t>
    </r>
  </si>
  <si>
    <r>
      <t>中国移动 · 宏观政策与股东回报（2020–2026中期） · 中报数据</t>
    </r>
  </si>
  <si>
    <r>
      <t>口径：中期（H1/中报）宣派股息（非单季、非累计全年）。2020–2025年以港元计值宣派；自2026年中期起以人民币计值宣派（港股股东可选港元/人民币收取，港股通股东除外）。</t>
    </r>
  </si>
  <si>
    <r>
      <t>报告期</t>
    </r>
  </si>
  <si>
    <r>
      <t>中期每股股息(港元)</t>
    </r>
  </si>
  <si>
    <r>
      <t>同比增幅</t>
    </r>
  </si>
  <si>
    <r>
      <t>备注/来源</t>
    </r>
  </si>
  <si>
    <r>
      <t>2020中期</t>
    </r>
  </si>
  <si>
    <r>
      <t>—</t>
    </r>
  </si>
  <si>
    <r>
      <t>来源：2020年年度业绩（中期1.53港元）</t>
    </r>
  </si>
  <si>
    <r>
      <t>2021中期</t>
    </r>
  </si>
  <si>
    <r>
      <t>+6.5%</t>
    </r>
  </si>
  <si>
    <r>
      <t>来源：2021年年度业绩（中期1.63港元）</t>
    </r>
  </si>
  <si>
    <r>
      <t>2022中期</t>
    </r>
  </si>
  <si>
    <r>
      <t>+35.0%</t>
    </r>
  </si>
  <si>
    <r>
      <t>来源：2022年年度业绩（中期2.20港元）</t>
    </r>
  </si>
  <si>
    <r>
      <t>2023中期</t>
    </r>
  </si>
  <si>
    <r>
      <t>+10.5%</t>
    </r>
  </si>
  <si>
    <r>
      <t>来源：2023年年度业绩（中期2.43港元）</t>
    </r>
  </si>
  <si>
    <r>
      <t>2024中期</t>
    </r>
  </si>
  <si>
    <r>
      <t>+7.0%</t>
    </r>
  </si>
  <si>
    <r>
      <t>来源：2024年年度业绩（中期2.60港元）</t>
    </r>
  </si>
  <si>
    <r>
      <t>2025中期</t>
    </r>
  </si>
  <si>
    <r>
      <t>+5.8%</t>
    </r>
  </si>
  <si>
    <r>
      <t>来源：2025年中期业绩公告（2025-08-07）</t>
    </r>
  </si>
  <si>
    <r>
      <t>2026中期</t>
    </r>
  </si>
  <si>
    <r>
      <t>+5.5%（港元口径）</t>
    </r>
  </si>
  <si>
    <r>
      <t>来源：2026年中期业绩公告（2026-08-13）；自2026中期起以人民币计值宣派，每股2.51元，折合2.9003港元</t>
    </r>
  </si>
  <si>
    <r>
      <t>中国移动 · 宏观政策与股东回报（2020–2025，另含2026中期） · 数据来源与口径说明</t>
    </r>
  </si>
  <si>
    <r>
      <t>· 数据来源：公司年度/中期业绩公告与年报、末期/中期利润分配公告（港交所 HKEXnews、公司官网 chinamobileltd.com、上交所）；H股年末收盘价取自交易所行情（新华社、腾讯证券）。</t>
    </r>
  </si>
  <si>
    <r>
      <t>· 单位：派息率%；股息港元/股。</t>
    </r>
  </si>
  <si>
    <r>
      <t>· 派息率＝全年现金分红÷当年股东应占利润（人民币口径，按年末央行港币/人民币中间价折算）。2020–2025：52.6%→60%→67%→71%→73%→75%。</t>
    </r>
  </si>
  <si>
    <r>
      <t>· 2020年派息率52.6%为公司2021年报披露口径（此前本表按“3.29港元÷EPS 5.99”推算约54%，已更正）。</t>
    </r>
  </si>
  <si>
    <r>
      <t>· 每股股息＝A+H全体股东全年（中期+末期）合计，港元计价；自2026年中期派息起以人民币计值宣派（2026中期2.51元≈2.9003港元）。</t>
    </r>
  </si>
  <si>
    <r>
      <t>· 股息按「中期/全年」两期宣派，无单季口径；原「季报数据」子表已改为「中报数据」，列示各报告期中期股息。</t>
    </r>
  </si>
  <si>
    <r>
      <t>· H股股息率＝当年全年每股股息÷年末H股收盘价（未复权）。2020–2025年末收盘价：44.20/46.80/51.75/64.80/76.60/81.70港元。</t>
    </r>
  </si>
  <si>
    <r>
      <t>· 2026年中期业绩（2026-08-13）：中期股息每股2.51元人民币（人民币口径同比+0.3%），折合2.9003港元（港元口径同比+5.5%）；2026年全年派息率将「稳中有升」。</t>
    </r>
  </si>
  <si>
    <r>
      <t>· 中国10年期国债到期收益率＝中债10年到期收益率年末(12月)值（非年度均值），来源中债估值/Choice/Wind；2020–2025：3.20%→2.79%→2.88%→2.59%→1.69%→1.85%。</t>
    </r>
  </si>
  <si>
    <r>
      <t>· 股息利差＝H股股息率(年末收盘价口径) − 10年期国债收益率(年末口径)，单位百分点(pp)；2020–2025：4.24→5.89→5.64→4.86→4.95→4.60pp。与卡5"股息率"同为年末口径，可直接相减。</t>
    </r>
  </si>
</sst>
</file>

<file path=xl/styles.xml><?xml version="1.0" encoding="utf-8"?>
<styleSheet xmlns="http://schemas.openxmlformats.org/spreadsheetml/2006/main">
  <numFmts count="2">
    <numFmt numFmtId="300" formatCode="0.0"/>
    <numFmt numFmtId="301" formatCode="General"/>
  </numFmts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b val="1"/>
    </font>
    <font>
      <name val="Calibri"/>
      <color theme="1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1" fontId="10" fillId="4" borderId="2" xfId="0"/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4" borderId="2" xfId="0" applyFont="1"/>
    <xf numFmtId="301" fontId="4" fillId="4" borderId="2" xfId="0" applyFont="1"/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Border="1" applyAlignment="1">
      <alignment horizontal="left" vertical="center" wrapText="1"/>
    </xf>
    <xf numFmtId="300" fontId="7" fillId="4" borderId="1" xfId="0" applyNumberFormat="1" applyFont="1" applyBorder="1" applyAlignment="1">
      <alignment horizontal="right" vertical="center" wrapText="1"/>
    </xf>
    <xf numFmtId="301" fontId="7" fillId="4" borderId="1" xfId="0" applyFont="1" applyBorder="1" applyAlignment="1">
      <alignment horizontal="right" vertical="center"/>
    </xf>
    <xf numFmtId="301" fontId="4" fillId="3" borderId="1" xfId="0" applyFont="1" applyFill="1" applyBorder="1" applyAlignment="1">
      <alignment horizontal="left" vertical="center" wrapText="1"/>
    </xf>
    <xf numFmtId="4" fontId="7" fillId="4" borderId="1" xfId="0" applyNumberFormat="1" applyFont="1" applyBorder="1" applyAlignment="1">
      <alignment horizontal="right" vertical="center"/>
    </xf>
    <xf numFmtId="2" fontId="7" fillId="4" borderId="1" xfId="0" applyNumberFormat="1" applyFont="1" applyBorder="1" applyAlignment="1">
      <alignment horizontal="right" vertical="center" wrapText="1"/>
    </xf>
    <xf numFmtId="2" fontId="7" fillId="4" borderId="1" xfId="0" applyNumberFormat="1" applyFont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left" vertical="center" wrapText="1"/>
    </xf>
    <xf numFmtId="301" fontId="10" fillId="4" borderId="2" xfId="0" applyAlignment="1">
      <alignment vertical="center"/>
    </xf>
    <xf numFmtId="301" fontId="8" fillId="4" borderId="2" xfId="0" applyFont="1"/>
    <xf numFmtId="2" fontId="10" fillId="4" borderId="2" xfId="0" applyNumberFormat="1"/>
    <xf numFmtId="301" fontId="10" fillId="4" borderId="2" xfId="0" applyAlignment="1">
      <alignment wrapText="1"/>
    </xf>
    <xf numFmtId="301" fontId="4" fillId="4" borderId="2" xfId="0" applyFont="1" applyAlignment="1">
      <alignment horizontal="left" vertical="center" wrapText="1"/>
    </xf>
    <xf numFmtId="301" fontId="9" fillId="4" borderId="2" xfId="0" applyFont="1"/>
    <xf numFmtId="301" fontId="10" fillId="4" borderId="2" xfId="0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68" fontId="10" fillId="4" borderId="2" xfId="0" applyNumberFormat="1" applyAlignment="1">
      <alignment vertical="center"/>
    </xf>
    <xf numFmtId="301" fontId="10" fillId="4" borderId="2" xfId="0" applyNumberFormat="1" applyFill="1" applyBorder="1"/>
    <xf numFmtId="301" fontId="10" fillId="4" borderId="2" xfId="0" applyNumberFormat="1" applyFon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9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4" style="24" customWidth="1"/>
    <col min="2" max="2" width="13" style="24" customWidth="1"/>
    <col min="3" max="3" width="13" style="24" customWidth="1"/>
    <col min="4" max="4" width="13" style="24" customWidth="1"/>
    <col min="5" max="5" width="13" style="24" customWidth="1"/>
    <col min="6" max="6" width="13" style="24" customWidth="1"/>
    <col min="7" max="7" width="13" style="24" customWidth="1"/>
    <col min="8" max="8" width="47.6719" style="24" customWidth="1"/>
  </cols>
  <sheetData>
    <row r="1" spans="1:1">
      <c r="A1" s="4" t="s">
        <v>1</v>
      </c>
    </row>
    <row r="2" spans="1:1">
      <c r="A2" s="5" t="s">
        <v>2</v>
      </c>
    </row>
    <row r="4" spans="1:8">
      <c r="A4" s="6" t="s">
        <v>3</v>
      </c>
      <c r="B4" s="22">
        <v>2020</v>
      </c>
      <c r="C4" s="22">
        <v>2021</v>
      </c>
      <c r="D4" s="22">
        <v>2022</v>
      </c>
      <c r="E4" s="22">
        <v>2023</v>
      </c>
      <c r="F4" s="22">
        <v>2024</v>
      </c>
      <c r="G4" s="22">
        <v>2025</v>
      </c>
      <c r="H4" s="6" t="s">
        <v>10</v>
      </c>
    </row>
    <row r="5" spans="1:8">
      <c r="A5" s="7" t="s">
        <v>11</v>
      </c>
      <c r="B5" s="8">
        <v>52.6</v>
      </c>
      <c r="C5" s="9">
        <v>60</v>
      </c>
      <c r="D5" s="9">
        <v>67</v>
      </c>
      <c r="E5" s="9">
        <v>71</v>
      </c>
      <c r="F5" s="9">
        <v>73</v>
      </c>
      <c r="G5" s="9">
        <v>75</v>
      </c>
      <c r="H5" s="10" t="s">
        <v>12</v>
      </c>
    </row>
    <row r="6" spans="1:8">
      <c r="A6" s="7" t="s">
        <v>13</v>
      </c>
      <c r="B6" s="11">
        <v>3.29</v>
      </c>
      <c r="C6" s="11">
        <v>4.06</v>
      </c>
      <c r="D6" s="11">
        <v>4.41</v>
      </c>
      <c r="E6" s="11">
        <v>4.83</v>
      </c>
      <c r="F6" s="11">
        <v>5.09</v>
      </c>
      <c r="G6" s="11">
        <v>5.27</v>
      </c>
      <c r="H6" s="10" t="s">
        <v>14</v>
      </c>
    </row>
    <row r="7" spans="1:8">
      <c r="A7" s="7" t="s">
        <v>15</v>
      </c>
      <c r="B7" s="12">
        <v>7.44</v>
      </c>
      <c r="C7" s="13">
        <v>8.68</v>
      </c>
      <c r="D7" s="13">
        <v>8.52</v>
      </c>
      <c r="E7" s="13">
        <v>7.45</v>
      </c>
      <c r="F7" s="13">
        <v>6.64</v>
      </c>
      <c r="G7" s="13">
        <v>6.45</v>
      </c>
      <c r="H7" s="10" t="s">
        <v>16</v>
      </c>
    </row>
    <row r="8" spans="1:8">
      <c r="A8" s="7" t="s">
        <v>17</v>
      </c>
      <c r="B8" s="12">
        <v>3.2</v>
      </c>
      <c r="C8" s="13">
        <v>2.79</v>
      </c>
      <c r="D8" s="13">
        <v>2.88</v>
      </c>
      <c r="E8" s="13">
        <v>2.59</v>
      </c>
      <c r="F8" s="13">
        <v>1.69</v>
      </c>
      <c r="G8" s="13">
        <v>1.85</v>
      </c>
      <c r="H8" s="14" t="s">
        <v>18</v>
      </c>
    </row>
    <row r="9" spans="1:8">
      <c r="A9" s="7" t="s">
        <v>19</v>
      </c>
      <c r="B9" s="12">
        <v>4.24</v>
      </c>
      <c r="C9" s="13">
        <v>5.89</v>
      </c>
      <c r="D9" s="13">
        <v>5.64</v>
      </c>
      <c r="E9" s="13">
        <v>4.86</v>
      </c>
      <c r="F9" s="13">
        <v>4.95</v>
      </c>
      <c r="G9" s="13">
        <v>4.6</v>
      </c>
      <c r="H9" s="14">
        <f>= H股股息率(年末口径) − 10年期国债收益率(年末口径)；险资/机构衡量"资产荒下高股息性价比"的核心宏观量化指标</f>
        <v>0</v>
      </c>
    </row>
  </sheetData>
  <pageMargins left="0.75" right="0.75" top="1" bottom="1" header="0.5" footer="0.5"/>
  <ignoredErrors>
    <ignoredError sqref="H9" evalError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1"/>
  <sheetViews>
    <sheetView showGridLines="1" workbookViewId="0"/>
  </sheetViews>
  <sheetFormatPr baseColWidth="8" defaultRowHeight="15"/>
  <cols>
    <col min="1" max="1" width="14.6719" style="25" customWidth="1"/>
    <col min="2" max="2" width="19.6719" style="25" customWidth="1"/>
    <col min="3" max="3" width="18.6719" style="25" customWidth="1"/>
    <col min="4" max="4" width="53.6719" style="25" customWidth="1"/>
  </cols>
  <sheetData>
    <row r="1" spans="1:1">
      <c r="A1" s="15" t="s">
        <v>20</v>
      </c>
    </row>
    <row r="2" spans="1:1">
      <c r="A2" s="15" t="s">
        <v>21</v>
      </c>
    </row>
    <row r="4" spans="1:4">
      <c r="A4" s="16" t="s">
        <v>22</v>
      </c>
      <c r="B4" s="16" t="s">
        <v>23</v>
      </c>
      <c r="C4" s="16" t="s">
        <v>24</v>
      </c>
      <c r="D4" s="16" t="s">
        <v>25</v>
      </c>
    </row>
    <row r="5" spans="1:4">
      <c r="A5" s="15" t="s">
        <v>26</v>
      </c>
      <c r="B5" s="17">
        <v>1.53</v>
      </c>
      <c r="C5" s="15" t="s">
        <v>27</v>
      </c>
      <c r="D5" s="18" t="s">
        <v>28</v>
      </c>
    </row>
    <row r="6" spans="1:4">
      <c r="A6" s="15" t="s">
        <v>29</v>
      </c>
      <c r="B6" s="17">
        <v>1.63</v>
      </c>
      <c r="C6" s="23">
        <v>0.065</v>
      </c>
      <c r="D6" s="18" t="s">
        <v>31</v>
      </c>
    </row>
    <row r="7" spans="1:4">
      <c r="A7" s="15" t="s">
        <v>32</v>
      </c>
      <c r="B7" s="17">
        <v>2.2</v>
      </c>
      <c r="C7" s="23">
        <v>0.35</v>
      </c>
      <c r="D7" s="18" t="s">
        <v>34</v>
      </c>
    </row>
    <row r="8" spans="1:4">
      <c r="A8" s="15" t="s">
        <v>35</v>
      </c>
      <c r="B8" s="17">
        <v>2.43</v>
      </c>
      <c r="C8" s="23">
        <v>0.105</v>
      </c>
      <c r="D8" s="18" t="s">
        <v>37</v>
      </c>
    </row>
    <row r="9" spans="1:4">
      <c r="A9" s="15" t="s">
        <v>38</v>
      </c>
      <c r="B9" s="17">
        <v>2.6</v>
      </c>
      <c r="C9" s="23">
        <v>0.07</v>
      </c>
      <c r="D9" s="18" t="s">
        <v>40</v>
      </c>
    </row>
    <row r="10" spans="1:4">
      <c r="A10" s="15" t="s">
        <v>41</v>
      </c>
      <c r="B10" s="17">
        <v>2.75</v>
      </c>
      <c r="C10" s="23">
        <v>0.058</v>
      </c>
      <c r="D10" s="18" t="s">
        <v>43</v>
      </c>
    </row>
    <row r="11" spans="1:4">
      <c r="A11" s="15" t="s">
        <v>44</v>
      </c>
      <c r="B11" s="17">
        <v>2.9</v>
      </c>
      <c r="C11" s="23">
        <v>0.055</v>
      </c>
      <c r="D11" s="18" t="s">
        <v>46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2"/>
  <sheetViews>
    <sheetView showGridLines="1" workbookViewId="0"/>
  </sheetViews>
  <sheetFormatPr baseColWidth="8" defaultRowHeight="15"/>
  <cols>
    <col min="1" max="1" width="110" style="24" customWidth="1"/>
  </cols>
  <sheetData>
    <row r="1" spans="1:1">
      <c r="A1" s="4" t="s">
        <v>47</v>
      </c>
    </row>
    <row r="3" spans="1:1">
      <c r="A3" s="19" t="s">
        <v>48</v>
      </c>
    </row>
    <row r="4" spans="1:1">
      <c r="A4" s="19" t="s">
        <v>49</v>
      </c>
    </row>
    <row r="5" spans="1:1">
      <c r="A5" s="19" t="s">
        <v>50</v>
      </c>
    </row>
    <row r="6" spans="1:1">
      <c r="A6" s="19" t="s">
        <v>51</v>
      </c>
    </row>
    <row r="7" spans="1:1">
      <c r="A7" s="19" t="s">
        <v>52</v>
      </c>
    </row>
    <row r="8" spans="1:1">
      <c r="A8" s="19" t="s">
        <v>53</v>
      </c>
    </row>
    <row r="9" spans="1:1">
      <c r="A9" s="19" t="s">
        <v>54</v>
      </c>
    </row>
    <row r="10" spans="1:1">
      <c r="A10" s="20" t="s">
        <v>55</v>
      </c>
    </row>
    <row r="11" spans="1:1">
      <c r="A11" s="21" t="s">
        <v>56</v>
      </c>
    </row>
    <row r="12" spans="1:1">
      <c r="A12" s="21" t="s">
        <v>57</v>
      </c>
    </row>
  </sheetData>
  <mergeCells count="7"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2026-08-16T21:17:25Z</dcterms:created>
  <dcterms:modified xsi:type="dcterms:W3CDTF">2026-08-16T21:17:25Z</dcterms:modified>
</cp:coreProperties>
</file>